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護理部業務資料\01.品管組\3.品管組-106年至113年\00.品管標準化文件及表單\標準化文件-表單\"/>
    </mc:Choice>
  </mc:AlternateContent>
  <xr:revisionPtr revIDLastSave="0" documentId="13_ncr:1_{CB74C941-AF7E-41B6-90B4-1F4DA1BEF7AC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範例說明版" sheetId="8" r:id="rId1"/>
    <sheet name="填寫版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" i="8" l="1"/>
  <c r="C63" i="8"/>
  <c r="D62" i="8" s="1"/>
  <c r="D61" i="8"/>
  <c r="D60" i="8"/>
  <c r="D59" i="8"/>
  <c r="D57" i="8"/>
  <c r="D56" i="8"/>
  <c r="D55" i="8"/>
  <c r="D53" i="8"/>
  <c r="D52" i="8"/>
  <c r="D51" i="8"/>
  <c r="O47" i="8"/>
  <c r="O46" i="8"/>
  <c r="O45" i="8"/>
  <c r="O44" i="8"/>
  <c r="O43" i="8"/>
  <c r="P8" i="8" s="1"/>
  <c r="N34" i="8"/>
  <c r="M34" i="8"/>
  <c r="L34" i="8"/>
  <c r="K34" i="8"/>
  <c r="J34" i="8"/>
  <c r="I34" i="8"/>
  <c r="H34" i="8"/>
  <c r="G34" i="8"/>
  <c r="F34" i="8"/>
  <c r="E34" i="8"/>
  <c r="D34" i="8"/>
  <c r="C34" i="8"/>
  <c r="O33" i="8"/>
  <c r="O32" i="8"/>
  <c r="P32" i="8" s="1"/>
  <c r="O31" i="8"/>
  <c r="O30" i="8"/>
  <c r="P30" i="8" s="1"/>
  <c r="O29" i="8"/>
  <c r="O28" i="8"/>
  <c r="O27" i="8"/>
  <c r="P27" i="8" s="1"/>
  <c r="O26" i="8"/>
  <c r="N24" i="8"/>
  <c r="M24" i="8"/>
  <c r="L24" i="8"/>
  <c r="K24" i="8"/>
  <c r="J24" i="8"/>
  <c r="I24" i="8"/>
  <c r="H24" i="8"/>
  <c r="G24" i="8"/>
  <c r="F24" i="8"/>
  <c r="E24" i="8"/>
  <c r="D24" i="8"/>
  <c r="C24" i="8"/>
  <c r="O23" i="8"/>
  <c r="O22" i="8"/>
  <c r="O21" i="8"/>
  <c r="O20" i="8"/>
  <c r="P20" i="8" s="1"/>
  <c r="O19" i="8"/>
  <c r="O18" i="8"/>
  <c r="P18" i="8" s="1"/>
  <c r="O17" i="8"/>
  <c r="P17" i="8" s="1"/>
  <c r="O16" i="8"/>
  <c r="O15" i="8"/>
  <c r="P15" i="8" s="1"/>
  <c r="O14" i="8"/>
  <c r="O13" i="8"/>
  <c r="O12" i="8"/>
  <c r="P12" i="8" s="1"/>
  <c r="O11" i="8"/>
  <c r="O10" i="8"/>
  <c r="P10" i="8" s="1"/>
  <c r="O9" i="8"/>
  <c r="O8" i="8"/>
  <c r="O7" i="8"/>
  <c r="C35" i="8" l="1"/>
  <c r="G35" i="8"/>
  <c r="K35" i="8"/>
  <c r="P23" i="8"/>
  <c r="F35" i="8"/>
  <c r="J35" i="8"/>
  <c r="N35" i="8"/>
  <c r="O24" i="8"/>
  <c r="O35" i="8" s="1"/>
  <c r="P19" i="8"/>
  <c r="D35" i="8"/>
  <c r="H35" i="8"/>
  <c r="L35" i="8"/>
  <c r="P7" i="8"/>
  <c r="E35" i="8"/>
  <c r="I35" i="8"/>
  <c r="M35" i="8"/>
  <c r="O34" i="8"/>
  <c r="P26" i="8"/>
  <c r="P13" i="8"/>
  <c r="P16" i="8"/>
  <c r="P21" i="8"/>
  <c r="P28" i="8"/>
  <c r="P31" i="8"/>
  <c r="P33" i="8"/>
  <c r="P11" i="8"/>
  <c r="P14" i="8"/>
  <c r="P22" i="8"/>
  <c r="P29" i="8"/>
  <c r="D54" i="8"/>
  <c r="D58" i="8"/>
  <c r="D63" i="8"/>
  <c r="P34" i="8"/>
  <c r="O12" i="7"/>
  <c r="O32" i="7" l="1"/>
  <c r="O22" i="7"/>
  <c r="C63" i="7"/>
  <c r="O47" i="7"/>
  <c r="O46" i="7"/>
  <c r="O45" i="7"/>
  <c r="O44" i="7"/>
  <c r="P12" i="7" s="1"/>
  <c r="O43" i="7"/>
  <c r="N34" i="7"/>
  <c r="M34" i="7"/>
  <c r="L34" i="7"/>
  <c r="K34" i="7"/>
  <c r="J34" i="7"/>
  <c r="J35" i="7" s="1"/>
  <c r="I34" i="7"/>
  <c r="H34" i="7"/>
  <c r="G34" i="7"/>
  <c r="F34" i="7"/>
  <c r="E34" i="7"/>
  <c r="E35" i="7" s="1"/>
  <c r="D34" i="7"/>
  <c r="C34" i="7"/>
  <c r="O33" i="7"/>
  <c r="O31" i="7"/>
  <c r="O30" i="7"/>
  <c r="O29" i="7"/>
  <c r="P29" i="7" s="1"/>
  <c r="O28" i="7"/>
  <c r="O27" i="7"/>
  <c r="O26" i="7"/>
  <c r="P26" i="7" s="1"/>
  <c r="N24" i="7"/>
  <c r="M24" i="7"/>
  <c r="L24" i="7"/>
  <c r="K24" i="7"/>
  <c r="J24" i="7"/>
  <c r="I24" i="7"/>
  <c r="H24" i="7"/>
  <c r="G24" i="7"/>
  <c r="F24" i="7"/>
  <c r="E24" i="7"/>
  <c r="D24" i="7"/>
  <c r="C24" i="7"/>
  <c r="O23" i="7"/>
  <c r="P23" i="7" s="1"/>
  <c r="O21" i="7"/>
  <c r="O20" i="7"/>
  <c r="P20" i="7" s="1"/>
  <c r="O19" i="7"/>
  <c r="P19" i="7" s="1"/>
  <c r="O18" i="7"/>
  <c r="O17" i="7"/>
  <c r="O16" i="7"/>
  <c r="O15" i="7"/>
  <c r="O14" i="7"/>
  <c r="P14" i="7" s="1"/>
  <c r="O13" i="7"/>
  <c r="O11" i="7"/>
  <c r="P11" i="7" s="1"/>
  <c r="O10" i="7"/>
  <c r="O9" i="7"/>
  <c r="P9" i="7" s="1"/>
  <c r="O8" i="7"/>
  <c r="P8" i="7" s="1"/>
  <c r="O7" i="7"/>
  <c r="D54" i="7"/>
  <c r="I35" i="7"/>
  <c r="M35" i="7"/>
  <c r="D62" i="7" l="1"/>
  <c r="D51" i="7"/>
  <c r="D63" i="7" s="1"/>
  <c r="H35" i="7"/>
  <c r="O34" i="7"/>
  <c r="P34" i="7" s="1"/>
  <c r="D56" i="7"/>
  <c r="P18" i="7"/>
  <c r="F35" i="7"/>
  <c r="N35" i="7"/>
  <c r="C35" i="7"/>
  <c r="G35" i="7"/>
  <c r="K35" i="7"/>
  <c r="D35" i="7"/>
  <c r="L35" i="7"/>
  <c r="O24" i="7"/>
  <c r="P10" i="7"/>
  <c r="P15" i="7"/>
  <c r="P30" i="7"/>
  <c r="D60" i="7"/>
  <c r="D52" i="7"/>
  <c r="P7" i="7"/>
  <c r="P16" i="7"/>
  <c r="P27" i="7"/>
  <c r="P31" i="7"/>
  <c r="D58" i="7"/>
  <c r="P13" i="7"/>
  <c r="P17" i="7"/>
  <c r="P21" i="7"/>
  <c r="P28" i="7"/>
  <c r="P33" i="7"/>
  <c r="D55" i="7"/>
  <c r="P32" i="7"/>
  <c r="D59" i="7"/>
  <c r="P22" i="7"/>
  <c r="D53" i="7"/>
  <c r="D57" i="7"/>
  <c r="D61" i="7"/>
  <c r="O35" i="7" l="1"/>
</calcChain>
</file>

<file path=xl/sharedStrings.xml><?xml version="1.0" encoding="utf-8"?>
<sst xmlns="http://schemas.openxmlformats.org/spreadsheetml/2006/main" count="220" uniqueCount="97">
  <si>
    <t>A31000-Q16-F-B33</t>
    <phoneticPr fontId="1" type="noConversion"/>
  </si>
  <si>
    <r>
      <rPr>
        <sz val="12"/>
        <rFont val="標楷體"/>
        <family val="4"/>
        <charset val="136"/>
      </rPr>
      <t>跌倒</t>
    </r>
  </si>
  <si>
    <r>
      <rPr>
        <sz val="12"/>
        <rFont val="標楷體"/>
        <family val="4"/>
        <charset val="136"/>
      </rPr>
      <t>針扎</t>
    </r>
  </si>
  <si>
    <r>
      <t>1</t>
    </r>
    <r>
      <rPr>
        <sz val="12"/>
        <rFont val="標楷體"/>
        <family val="4"/>
        <charset val="136"/>
      </rPr>
      <t>月</t>
    </r>
    <phoneticPr fontId="1" type="noConversion"/>
  </si>
  <si>
    <r>
      <t>2</t>
    </r>
    <r>
      <rPr>
        <sz val="12"/>
        <rFont val="標楷體"/>
        <family val="4"/>
        <charset val="136"/>
      </rPr>
      <t>月</t>
    </r>
    <phoneticPr fontId="1" type="noConversion"/>
  </si>
  <si>
    <r>
      <rPr>
        <sz val="12"/>
        <rFont val="標楷體"/>
        <family val="4"/>
        <charset val="136"/>
      </rPr>
      <t>跌倒</t>
    </r>
    <phoneticPr fontId="1" type="noConversion"/>
  </si>
  <si>
    <r>
      <rPr>
        <sz val="12"/>
        <rFont val="標楷體"/>
        <family val="4"/>
        <charset val="136"/>
      </rPr>
      <t>護理人員給藥錯誤</t>
    </r>
    <phoneticPr fontId="1" type="noConversion"/>
  </si>
  <si>
    <r>
      <rPr>
        <sz val="12"/>
        <rFont val="標楷體"/>
        <family val="4"/>
        <charset val="136"/>
      </rPr>
      <t>月份</t>
    </r>
    <phoneticPr fontId="1" type="noConversion"/>
  </si>
  <si>
    <r>
      <t>3</t>
    </r>
    <r>
      <rPr>
        <sz val="12"/>
        <rFont val="標楷體"/>
        <family val="4"/>
        <charset val="136"/>
      </rPr>
      <t>月</t>
    </r>
  </si>
  <si>
    <r>
      <t>4</t>
    </r>
    <r>
      <rPr>
        <sz val="12"/>
        <rFont val="標楷體"/>
        <family val="4"/>
        <charset val="136"/>
      </rPr>
      <t>月</t>
    </r>
  </si>
  <si>
    <r>
      <t>5</t>
    </r>
    <r>
      <rPr>
        <sz val="12"/>
        <rFont val="標楷體"/>
        <family val="4"/>
        <charset val="136"/>
      </rPr>
      <t>月</t>
    </r>
  </si>
  <si>
    <r>
      <t>6</t>
    </r>
    <r>
      <rPr>
        <sz val="12"/>
        <rFont val="標楷體"/>
        <family val="4"/>
        <charset val="136"/>
      </rPr>
      <t>月</t>
    </r>
  </si>
  <si>
    <r>
      <t>7</t>
    </r>
    <r>
      <rPr>
        <sz val="12"/>
        <rFont val="標楷體"/>
        <family val="4"/>
        <charset val="136"/>
      </rPr>
      <t>月</t>
    </r>
  </si>
  <si>
    <r>
      <t>8</t>
    </r>
    <r>
      <rPr>
        <sz val="12"/>
        <rFont val="標楷體"/>
        <family val="4"/>
        <charset val="136"/>
      </rPr>
      <t>月</t>
    </r>
  </si>
  <si>
    <r>
      <t>9</t>
    </r>
    <r>
      <rPr>
        <sz val="12"/>
        <rFont val="標楷體"/>
        <family val="4"/>
        <charset val="136"/>
      </rPr>
      <t>月</t>
    </r>
  </si>
  <si>
    <r>
      <t>10</t>
    </r>
    <r>
      <rPr>
        <sz val="12"/>
        <rFont val="標楷體"/>
        <family val="4"/>
        <charset val="136"/>
      </rPr>
      <t>月</t>
    </r>
  </si>
  <si>
    <r>
      <t>11</t>
    </r>
    <r>
      <rPr>
        <sz val="12"/>
        <rFont val="標楷體"/>
        <family val="4"/>
        <charset val="136"/>
      </rPr>
      <t>月</t>
    </r>
  </si>
  <si>
    <r>
      <t>12</t>
    </r>
    <r>
      <rPr>
        <sz val="12"/>
        <rFont val="標楷體"/>
        <family val="4"/>
        <charset val="136"/>
      </rPr>
      <t>月</t>
    </r>
  </si>
  <si>
    <r>
      <rPr>
        <sz val="12"/>
        <rFont val="標楷體"/>
        <family val="4"/>
        <charset val="136"/>
      </rPr>
      <t>總計</t>
    </r>
    <phoneticPr fontId="1" type="noConversion"/>
  </si>
  <si>
    <r>
      <rPr>
        <sz val="12"/>
        <rFont val="標楷體"/>
        <family val="4"/>
        <charset val="136"/>
      </rPr>
      <t>住院人日數</t>
    </r>
    <phoneticPr fontId="1" type="noConversion"/>
  </si>
  <si>
    <r>
      <rPr>
        <sz val="12"/>
        <rFont val="標楷體"/>
        <family val="4"/>
        <charset val="136"/>
      </rPr>
      <t>護理人員數</t>
    </r>
    <phoneticPr fontId="1" type="noConversion"/>
  </si>
  <si>
    <r>
      <rPr>
        <sz val="12"/>
        <rFont val="標楷體"/>
        <family val="4"/>
        <charset val="136"/>
      </rPr>
      <t>化療人次</t>
    </r>
    <phoneticPr fontId="1" type="noConversion"/>
  </si>
  <si>
    <r>
      <rPr>
        <sz val="12"/>
        <rFont val="標楷體"/>
        <family val="4"/>
        <charset val="136"/>
      </rPr>
      <t>輸血人次</t>
    </r>
    <phoneticPr fontId="1" type="noConversion"/>
  </si>
  <si>
    <r>
      <rPr>
        <sz val="12"/>
        <rFont val="標楷體"/>
        <family val="4"/>
        <charset val="136"/>
      </rPr>
      <t>項目</t>
    </r>
    <phoneticPr fontId="1" type="noConversion"/>
  </si>
  <si>
    <r>
      <rPr>
        <sz val="12"/>
        <rFont val="標楷體"/>
        <family val="4"/>
        <charset val="136"/>
      </rPr>
      <t>件數</t>
    </r>
    <phoneticPr fontId="1" type="noConversion"/>
  </si>
  <si>
    <r>
      <rPr>
        <sz val="12"/>
        <rFont val="標楷體"/>
        <family val="4"/>
        <charset val="136"/>
      </rPr>
      <t>靜脈炎</t>
    </r>
    <phoneticPr fontId="1" type="noConversion"/>
  </si>
  <si>
    <r>
      <rPr>
        <sz val="12"/>
        <rFont val="標楷體"/>
        <family val="4"/>
        <charset val="136"/>
      </rPr>
      <t>護理單位異常事件合計</t>
    </r>
    <phoneticPr fontId="1" type="noConversion"/>
  </si>
  <si>
    <r>
      <rPr>
        <sz val="12"/>
        <rFont val="標楷體"/>
        <family val="4"/>
        <charset val="136"/>
      </rPr>
      <t>其他科室異常</t>
    </r>
    <phoneticPr fontId="1" type="noConversion"/>
  </si>
  <si>
    <r>
      <rPr>
        <sz val="12"/>
        <rFont val="標楷體"/>
        <family val="4"/>
        <charset val="136"/>
      </rPr>
      <t>急救事件</t>
    </r>
    <phoneticPr fontId="1" type="noConversion"/>
  </si>
  <si>
    <r>
      <rPr>
        <sz val="12"/>
        <rFont val="標楷體"/>
        <family val="4"/>
        <charset val="136"/>
      </rPr>
      <t>藥局給藥錯誤</t>
    </r>
    <phoneticPr fontId="1" type="noConversion"/>
  </si>
  <si>
    <r>
      <rPr>
        <sz val="12"/>
        <rFont val="標楷體"/>
        <family val="4"/>
        <charset val="136"/>
      </rPr>
      <t>藥物事件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其他</t>
    </r>
    <r>
      <rPr>
        <sz val="12"/>
        <rFont val="Times New Roman"/>
        <family val="1"/>
      </rPr>
      <t>)</t>
    </r>
    <phoneticPr fontId="1" type="noConversion"/>
  </si>
  <si>
    <r>
      <rPr>
        <sz val="12"/>
        <rFont val="標楷體"/>
        <family val="4"/>
        <charset val="136"/>
      </rPr>
      <t>治安事件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偷竊、暴力</t>
    </r>
    <r>
      <rPr>
        <sz val="12"/>
        <rFont val="Times New Roman"/>
        <family val="1"/>
      </rPr>
      <t>……)</t>
    </r>
    <phoneticPr fontId="1" type="noConversion"/>
  </si>
  <si>
    <r>
      <rPr>
        <sz val="12"/>
        <rFont val="標楷體"/>
        <family val="4"/>
        <charset val="136"/>
      </rPr>
      <t>公共意外事件</t>
    </r>
    <phoneticPr fontId="1" type="noConversion"/>
  </si>
  <si>
    <r>
      <rPr>
        <sz val="12"/>
        <rFont val="標楷體"/>
        <family val="4"/>
        <charset val="136"/>
      </rPr>
      <t>其他事件</t>
    </r>
    <phoneticPr fontId="1" type="noConversion"/>
  </si>
  <si>
    <r>
      <rPr>
        <sz val="12"/>
        <rFont val="標楷體"/>
        <family val="4"/>
        <charset val="136"/>
      </rPr>
      <t>其他科室異常合計</t>
    </r>
    <phoneticPr fontId="1" type="noConversion"/>
  </si>
  <si>
    <r>
      <rPr>
        <sz val="12"/>
        <rFont val="標楷體"/>
        <family val="4"/>
        <charset val="136"/>
      </rPr>
      <t>品管組督導：</t>
    </r>
    <phoneticPr fontId="1" type="noConversion"/>
  </si>
  <si>
    <r>
      <rPr>
        <sz val="12"/>
        <rFont val="標楷體"/>
        <family val="4"/>
        <charset val="136"/>
      </rPr>
      <t>單位督導：</t>
    </r>
    <phoneticPr fontId="1" type="noConversion"/>
  </si>
  <si>
    <r>
      <rPr>
        <sz val="12"/>
        <rFont val="標楷體"/>
        <family val="4"/>
        <charset val="136"/>
      </rPr>
      <t>護理長：</t>
    </r>
    <phoneticPr fontId="1" type="noConversion"/>
  </si>
  <si>
    <r>
      <t>XX</t>
    </r>
    <r>
      <rPr>
        <sz val="12"/>
        <rFont val="標楷體"/>
        <family val="4"/>
        <charset val="136"/>
      </rPr>
      <t>滑脫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自拔</t>
    </r>
    <r>
      <rPr>
        <sz val="12"/>
        <rFont val="Times New Roman"/>
        <family val="1"/>
      </rPr>
      <t>)</t>
    </r>
  </si>
  <si>
    <r>
      <rPr>
        <sz val="12"/>
        <color indexed="10"/>
        <rFont val="Times New Roman"/>
        <family val="1"/>
      </rPr>
      <t>XX</t>
    </r>
    <r>
      <rPr>
        <sz val="12"/>
        <rFont val="標楷體"/>
        <family val="4"/>
        <charset val="136"/>
      </rPr>
      <t>滑脫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自拔</t>
    </r>
    <r>
      <rPr>
        <sz val="12"/>
        <rFont val="Times New Roman"/>
        <family val="1"/>
      </rPr>
      <t>)</t>
    </r>
    <phoneticPr fontId="1" type="noConversion"/>
  </si>
  <si>
    <t>管路事件(其他)</t>
    <phoneticPr fontId="1" type="noConversion"/>
  </si>
  <si>
    <t>藥物事件(其他)</t>
    <phoneticPr fontId="1" type="noConversion"/>
  </si>
  <si>
    <t>表一、人日數及人次</t>
    <phoneticPr fontId="1" type="noConversion"/>
  </si>
  <si>
    <r>
      <rPr>
        <sz val="12"/>
        <rFont val="標楷體"/>
        <family val="4"/>
        <charset val="136"/>
      </rPr>
      <t>護理人員給藥錯誤</t>
    </r>
  </si>
  <si>
    <r>
      <rPr>
        <sz val="12"/>
        <rFont val="標楷體"/>
        <family val="4"/>
        <charset val="136"/>
      </rPr>
      <t>輸血事件</t>
    </r>
  </si>
  <si>
    <r>
      <rPr>
        <sz val="12"/>
        <rFont val="標楷體"/>
        <family val="4"/>
        <charset val="136"/>
      </rPr>
      <t>靜脈炎</t>
    </r>
  </si>
  <si>
    <r>
      <rPr>
        <sz val="12"/>
        <rFont val="標楷體"/>
        <family val="4"/>
        <charset val="136"/>
      </rPr>
      <t>管路事件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其他</t>
    </r>
    <r>
      <rPr>
        <sz val="12"/>
        <rFont val="Times New Roman"/>
        <family val="1"/>
      </rPr>
      <t>)</t>
    </r>
  </si>
  <si>
    <r>
      <rPr>
        <sz val="12"/>
        <rFont val="標楷體"/>
        <family val="4"/>
        <charset val="136"/>
      </rPr>
      <t>藥物事件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其他</t>
    </r>
    <r>
      <rPr>
        <sz val="12"/>
        <rFont val="Times New Roman"/>
        <family val="1"/>
      </rPr>
      <t>)</t>
    </r>
  </si>
  <si>
    <r>
      <rPr>
        <sz val="12"/>
        <rFont val="標楷體"/>
        <family val="4"/>
        <charset val="136"/>
      </rPr>
      <t>百分比（％）</t>
    </r>
    <phoneticPr fontId="1" type="noConversion"/>
  </si>
  <si>
    <r>
      <t>表二、</t>
    </r>
    <r>
      <rPr>
        <b/>
        <sz val="14"/>
        <rFont val="標楷體"/>
        <family val="4"/>
        <charset val="136"/>
      </rPr>
      <t>「護理單位」</t>
    </r>
    <r>
      <rPr>
        <sz val="14"/>
        <rFont val="標楷體"/>
        <family val="4"/>
        <charset val="136"/>
      </rPr>
      <t>異常事件統計排序</t>
    </r>
    <phoneticPr fontId="1" type="noConversion"/>
  </si>
  <si>
    <r>
      <rPr>
        <b/>
        <sz val="14"/>
        <rFont val="標楷體"/>
        <family val="4"/>
        <charset val="136"/>
      </rPr>
      <t>中山醫學大學附設醫院</t>
    </r>
    <phoneticPr fontId="1" type="noConversion"/>
  </si>
  <si>
    <t>名稱</t>
  </si>
  <si>
    <t>編 號</t>
  </si>
  <si>
    <t>版 本</t>
  </si>
  <si>
    <t>Chung Shan Medical University Hospital</t>
    <phoneticPr fontId="1" type="noConversion"/>
  </si>
  <si>
    <t>制定單位</t>
    <phoneticPr fontId="1" type="noConversion"/>
  </si>
  <si>
    <t>護理部</t>
    <phoneticPr fontId="1" type="noConversion"/>
  </si>
  <si>
    <t>修正日期</t>
  </si>
  <si>
    <t>頁數/總頁數</t>
  </si>
  <si>
    <t>年度異常事件統計總表</t>
    <phoneticPr fontId="1" type="noConversion"/>
  </si>
  <si>
    <t>失禁性皮膚炎</t>
    <phoneticPr fontId="1" type="noConversion"/>
  </si>
  <si>
    <t>失禁性皮膚炎</t>
    <phoneticPr fontId="1" type="noConversion"/>
  </si>
  <si>
    <t>2/2</t>
    <phoneticPr fontId="1" type="noConversion"/>
  </si>
  <si>
    <t>1/2</t>
    <phoneticPr fontId="1" type="noConversion"/>
  </si>
  <si>
    <r>
      <rPr>
        <sz val="12"/>
        <rFont val="標楷體"/>
        <family val="4"/>
        <charset val="136"/>
      </rPr>
      <t>鼻胃管滑脫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自拔</t>
    </r>
    <r>
      <rPr>
        <sz val="12"/>
        <rFont val="Times New Roman"/>
        <family val="1"/>
      </rPr>
      <t>)</t>
    </r>
    <phoneticPr fontId="1" type="noConversion"/>
  </si>
  <si>
    <r>
      <rPr>
        <sz val="12"/>
        <rFont val="標楷體"/>
        <family val="4"/>
        <charset val="136"/>
      </rPr>
      <t>氣管內管滑脫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自拔</t>
    </r>
    <r>
      <rPr>
        <sz val="12"/>
        <rFont val="Times New Roman"/>
        <family val="1"/>
      </rPr>
      <t>)-</t>
    </r>
    <r>
      <rPr>
        <sz val="12"/>
        <rFont val="標楷體"/>
        <family val="4"/>
        <charset val="136"/>
      </rPr>
      <t>一般病房版</t>
    </r>
    <phoneticPr fontId="1" type="noConversion"/>
  </si>
  <si>
    <r>
      <rPr>
        <sz val="12"/>
        <rFont val="標楷體"/>
        <family val="4"/>
        <charset val="136"/>
      </rPr>
      <t>氣管內管滑脫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自拔</t>
    </r>
    <r>
      <rPr>
        <sz val="12"/>
        <rFont val="Times New Roman"/>
        <family val="1"/>
      </rPr>
      <t>)-</t>
    </r>
    <r>
      <rPr>
        <sz val="12"/>
        <rFont val="標楷體"/>
        <family val="4"/>
        <charset val="136"/>
      </rPr>
      <t>加護病房版</t>
    </r>
    <phoneticPr fontId="1" type="noConversion"/>
  </si>
  <si>
    <t>氣管內管使用人日數
(加護病房填寫)</t>
    <phoneticPr fontId="1" type="noConversion"/>
  </si>
  <si>
    <r>
      <rPr>
        <sz val="12"/>
        <rFont val="標楷體"/>
        <family val="4"/>
        <charset val="136"/>
      </rPr>
      <t>氣管內管滑脫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自拔</t>
    </r>
    <r>
      <rPr>
        <sz val="12"/>
        <rFont val="Times New Roman"/>
        <family val="1"/>
      </rPr>
      <t>)</t>
    </r>
    <phoneticPr fontId="1" type="noConversion"/>
  </si>
  <si>
    <r>
      <rPr>
        <sz val="12"/>
        <rFont val="標楷體"/>
        <family val="4"/>
        <charset val="136"/>
      </rPr>
      <t>鼻胃管滑脫</t>
    </r>
    <r>
      <rPr>
        <sz val="12"/>
        <rFont val="Times New Roman"/>
        <family val="1"/>
      </rPr>
      <t>(</t>
    </r>
    <r>
      <rPr>
        <sz val="12"/>
        <rFont val="標楷體"/>
        <family val="4"/>
        <charset val="136"/>
      </rPr>
      <t>自拔</t>
    </r>
    <r>
      <rPr>
        <sz val="12"/>
        <rFont val="Times New Roman"/>
        <family val="1"/>
      </rPr>
      <t>)</t>
    </r>
    <phoneticPr fontId="1" type="noConversion"/>
  </si>
  <si>
    <r>
      <rPr>
        <b/>
        <sz val="14"/>
        <color rgb="FFFF0000"/>
        <rFont val="Times New Roman"/>
        <family val="1"/>
      </rPr>
      <t>112</t>
    </r>
    <r>
      <rPr>
        <sz val="14"/>
        <color theme="1"/>
        <rFont val="標楷體"/>
        <family val="4"/>
        <charset val="136"/>
      </rPr>
      <t>年</t>
    </r>
    <r>
      <rPr>
        <sz val="14"/>
        <rFont val="標楷體"/>
        <family val="4"/>
        <charset val="136"/>
      </rPr>
      <t>異常事件</t>
    </r>
    <r>
      <rPr>
        <sz val="14"/>
        <rFont val="Times New Roman"/>
        <family val="1"/>
      </rPr>
      <t>-</t>
    </r>
    <r>
      <rPr>
        <sz val="14"/>
        <color indexed="10"/>
        <rFont val="Times New Roman"/>
        <family val="1"/>
      </rPr>
      <t>XX(</t>
    </r>
    <r>
      <rPr>
        <sz val="14"/>
        <color indexed="10"/>
        <rFont val="標楷體"/>
        <family val="4"/>
        <charset val="136"/>
      </rPr>
      <t>單位</t>
    </r>
    <r>
      <rPr>
        <sz val="14"/>
        <color indexed="10"/>
        <rFont val="Times New Roman"/>
        <family val="1"/>
      </rPr>
      <t>)</t>
    </r>
    <phoneticPr fontId="1" type="noConversion"/>
  </si>
  <si>
    <r>
      <t>113</t>
    </r>
    <r>
      <rPr>
        <sz val="10"/>
        <color theme="1"/>
        <rFont val="標楷體"/>
        <family val="4"/>
        <charset val="136"/>
      </rPr>
      <t>年</t>
    </r>
    <r>
      <rPr>
        <sz val="10"/>
        <color theme="1"/>
        <rFont val="Times New Roman"/>
        <family val="1"/>
      </rPr>
      <t>01</t>
    </r>
    <r>
      <rPr>
        <sz val="10"/>
        <color theme="1"/>
        <rFont val="標楷體"/>
        <family val="4"/>
        <charset val="136"/>
      </rPr>
      <t>月</t>
    </r>
    <r>
      <rPr>
        <sz val="10"/>
        <color theme="1"/>
        <rFont val="Times New Roman"/>
        <family val="1"/>
      </rPr>
      <t>09</t>
    </r>
    <r>
      <rPr>
        <sz val="10"/>
        <color theme="1"/>
        <rFont val="標楷體"/>
        <family val="4"/>
        <charset val="136"/>
      </rPr>
      <t>日</t>
    </r>
    <phoneticPr fontId="1" type="noConversion"/>
  </si>
  <si>
    <r>
      <rPr>
        <sz val="10"/>
        <color theme="1"/>
        <rFont val="標楷體"/>
        <family val="4"/>
        <charset val="136"/>
      </rPr>
      <t>第</t>
    </r>
    <r>
      <rPr>
        <sz val="10"/>
        <color theme="1"/>
        <rFont val="Times New Roman"/>
        <family val="1"/>
      </rPr>
      <t>1.5</t>
    </r>
    <r>
      <rPr>
        <sz val="10"/>
        <color theme="1"/>
        <rFont val="標楷體"/>
        <family val="4"/>
        <charset val="136"/>
      </rPr>
      <t>版</t>
    </r>
    <phoneticPr fontId="1" type="noConversion"/>
  </si>
  <si>
    <r>
      <t>12</t>
    </r>
    <r>
      <rPr>
        <sz val="12"/>
        <color theme="1"/>
        <rFont val="標楷體"/>
        <family val="4"/>
        <charset val="136"/>
      </rPr>
      <t>月</t>
    </r>
    <phoneticPr fontId="1" type="noConversion"/>
  </si>
  <si>
    <r>
      <rPr>
        <sz val="12"/>
        <color theme="1"/>
        <rFont val="標楷體"/>
        <family val="4"/>
        <charset val="136"/>
      </rPr>
      <t>項目/發生件數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月份</t>
    </r>
    <phoneticPr fontId="1" type="noConversion"/>
  </si>
  <si>
    <r>
      <t>1</t>
    </r>
    <r>
      <rPr>
        <sz val="12"/>
        <color theme="1"/>
        <rFont val="標楷體"/>
        <family val="4"/>
        <charset val="136"/>
      </rPr>
      <t>月</t>
    </r>
    <phoneticPr fontId="1" type="noConversion"/>
  </si>
  <si>
    <r>
      <t>2</t>
    </r>
    <r>
      <rPr>
        <sz val="12"/>
        <color theme="1"/>
        <rFont val="標楷體"/>
        <family val="4"/>
        <charset val="136"/>
      </rPr>
      <t>月</t>
    </r>
    <phoneticPr fontId="1" type="noConversion"/>
  </si>
  <si>
    <r>
      <t>3</t>
    </r>
    <r>
      <rPr>
        <sz val="12"/>
        <color theme="1"/>
        <rFont val="標楷體"/>
        <family val="4"/>
        <charset val="136"/>
      </rPr>
      <t>月</t>
    </r>
    <phoneticPr fontId="1" type="noConversion"/>
  </si>
  <si>
    <r>
      <t>4</t>
    </r>
    <r>
      <rPr>
        <sz val="12"/>
        <color theme="1"/>
        <rFont val="標楷體"/>
        <family val="4"/>
        <charset val="136"/>
      </rPr>
      <t>月</t>
    </r>
    <phoneticPr fontId="1" type="noConversion"/>
  </si>
  <si>
    <r>
      <t>5</t>
    </r>
    <r>
      <rPr>
        <sz val="12"/>
        <color theme="1"/>
        <rFont val="標楷體"/>
        <family val="4"/>
        <charset val="136"/>
      </rPr>
      <t>月</t>
    </r>
    <phoneticPr fontId="1" type="noConversion"/>
  </si>
  <si>
    <r>
      <t>6</t>
    </r>
    <r>
      <rPr>
        <sz val="12"/>
        <color theme="1"/>
        <rFont val="標楷體"/>
        <family val="4"/>
        <charset val="136"/>
      </rPr>
      <t>月</t>
    </r>
    <phoneticPr fontId="1" type="noConversion"/>
  </si>
  <si>
    <r>
      <t>7</t>
    </r>
    <r>
      <rPr>
        <sz val="12"/>
        <color theme="1"/>
        <rFont val="標楷體"/>
        <family val="4"/>
        <charset val="136"/>
      </rPr>
      <t>月</t>
    </r>
    <phoneticPr fontId="1" type="noConversion"/>
  </si>
  <si>
    <r>
      <t>8</t>
    </r>
    <r>
      <rPr>
        <sz val="12"/>
        <color theme="1"/>
        <rFont val="標楷體"/>
        <family val="4"/>
        <charset val="136"/>
      </rPr>
      <t>月</t>
    </r>
    <phoneticPr fontId="1" type="noConversion"/>
  </si>
  <si>
    <r>
      <t>9</t>
    </r>
    <r>
      <rPr>
        <sz val="12"/>
        <color theme="1"/>
        <rFont val="標楷體"/>
        <family val="4"/>
        <charset val="136"/>
      </rPr>
      <t>月</t>
    </r>
    <phoneticPr fontId="1" type="noConversion"/>
  </si>
  <si>
    <r>
      <t>10</t>
    </r>
    <r>
      <rPr>
        <sz val="12"/>
        <color theme="1"/>
        <rFont val="標楷體"/>
        <family val="4"/>
        <charset val="136"/>
      </rPr>
      <t>月</t>
    </r>
    <phoneticPr fontId="1" type="noConversion"/>
  </si>
  <si>
    <r>
      <t>11</t>
    </r>
    <r>
      <rPr>
        <sz val="12"/>
        <color theme="1"/>
        <rFont val="標楷體"/>
        <family val="4"/>
        <charset val="136"/>
      </rPr>
      <t>月</t>
    </r>
    <phoneticPr fontId="1" type="noConversion"/>
  </si>
  <si>
    <r>
      <rPr>
        <sz val="12"/>
        <color theme="1"/>
        <rFont val="標楷體"/>
        <family val="4"/>
        <charset val="136"/>
      </rPr>
      <t>合計</t>
    </r>
    <phoneticPr fontId="1" type="noConversion"/>
  </si>
  <si>
    <r>
      <rPr>
        <sz val="12"/>
        <color theme="1"/>
        <rFont val="標楷體"/>
        <family val="4"/>
        <charset val="136"/>
      </rPr>
      <t>發生率</t>
    </r>
    <r>
      <rPr>
        <sz val="12"/>
        <color theme="1"/>
        <rFont val="Times New Roman"/>
        <family val="1"/>
      </rPr>
      <t>(%)</t>
    </r>
    <r>
      <rPr>
        <vertAlign val="superscript"/>
        <sz val="12"/>
        <color theme="1"/>
        <rFont val="標楷體"/>
        <family val="4"/>
        <charset val="136"/>
      </rPr>
      <t>註</t>
    </r>
    <r>
      <rPr>
        <vertAlign val="superscript"/>
        <sz val="12"/>
        <color theme="1"/>
        <rFont val="Times New Roman"/>
        <family val="1"/>
      </rPr>
      <t>1</t>
    </r>
    <phoneticPr fontId="1" type="noConversion"/>
  </si>
  <si>
    <r>
      <t>針扎</t>
    </r>
    <r>
      <rPr>
        <b/>
        <sz val="9"/>
        <color theme="1"/>
        <rFont val="Times New Roman"/>
        <family val="1"/>
      </rPr>
      <t>(</t>
    </r>
    <r>
      <rPr>
        <b/>
        <sz val="9"/>
        <color theme="1"/>
        <rFont val="標楷體"/>
        <family val="4"/>
        <charset val="136"/>
      </rPr>
      <t>註</t>
    </r>
    <r>
      <rPr>
        <b/>
        <sz val="9"/>
        <color theme="1"/>
        <rFont val="Times New Roman"/>
        <family val="1"/>
      </rPr>
      <t>2)</t>
    </r>
    <phoneticPr fontId="1" type="noConversion"/>
  </si>
  <si>
    <r>
      <t>化療藥物潑灑</t>
    </r>
    <r>
      <rPr>
        <b/>
        <sz val="9"/>
        <color theme="1"/>
        <rFont val="標楷體"/>
        <family val="4"/>
        <charset val="136"/>
      </rPr>
      <t>(註</t>
    </r>
    <r>
      <rPr>
        <b/>
        <sz val="9"/>
        <color theme="1"/>
        <rFont val="Times New Roman"/>
        <family val="1"/>
      </rPr>
      <t>3</t>
    </r>
    <r>
      <rPr>
        <b/>
        <sz val="9"/>
        <color theme="1"/>
        <rFont val="標楷體"/>
        <family val="4"/>
        <charset val="136"/>
      </rPr>
      <t>)</t>
    </r>
    <phoneticPr fontId="1" type="noConversion"/>
  </si>
  <si>
    <r>
      <t>化療藥物外滲</t>
    </r>
    <r>
      <rPr>
        <b/>
        <sz val="9"/>
        <color theme="1"/>
        <rFont val="標楷體"/>
        <family val="4"/>
        <charset val="136"/>
      </rPr>
      <t>(註3)</t>
    </r>
    <phoneticPr fontId="1" type="noConversion"/>
  </si>
  <si>
    <r>
      <t>輸血事件</t>
    </r>
    <r>
      <rPr>
        <b/>
        <sz val="9"/>
        <color theme="1"/>
        <rFont val="標楷體"/>
        <family val="4"/>
        <charset val="136"/>
      </rPr>
      <t>(註4)</t>
    </r>
    <phoneticPr fontId="1" type="noConversion"/>
  </si>
  <si>
    <r>
      <t>壓力性損</t>
    </r>
    <r>
      <rPr>
        <sz val="12"/>
        <color theme="1"/>
        <rFont val="標楷體"/>
        <family val="4"/>
        <charset val="136"/>
      </rPr>
      <t>傷(新發生處數)</t>
    </r>
    <phoneticPr fontId="1" type="noConversion"/>
  </si>
  <si>
    <r>
      <t>註：</t>
    </r>
    <r>
      <rPr>
        <b/>
        <sz val="12"/>
        <color theme="1"/>
        <rFont val="Times New Roman"/>
        <family val="1"/>
      </rPr>
      <t>1.</t>
    </r>
    <r>
      <rPr>
        <b/>
        <sz val="12"/>
        <color theme="1"/>
        <rFont val="標楷體"/>
        <family val="4"/>
        <charset val="136"/>
      </rPr>
      <t>分母為住院人日數</t>
    </r>
    <r>
      <rPr>
        <b/>
        <sz val="12"/>
        <color theme="1"/>
        <rFont val="Times New Roman"/>
        <family val="1"/>
      </rPr>
      <t xml:space="preserve"> 2.</t>
    </r>
    <r>
      <rPr>
        <b/>
        <sz val="12"/>
        <color theme="1"/>
        <rFont val="標楷體"/>
        <family val="4"/>
        <charset val="136"/>
      </rPr>
      <t>分母為護理人員數</t>
    </r>
    <r>
      <rPr>
        <b/>
        <sz val="12"/>
        <color theme="1"/>
        <rFont val="Times New Roman"/>
        <family val="1"/>
      </rPr>
      <t xml:space="preserve"> 3.</t>
    </r>
    <r>
      <rPr>
        <b/>
        <sz val="12"/>
        <color theme="1"/>
        <rFont val="標楷體"/>
        <family val="4"/>
        <charset val="136"/>
      </rPr>
      <t>分母為化療人次</t>
    </r>
    <r>
      <rPr>
        <b/>
        <sz val="12"/>
        <color theme="1"/>
        <rFont val="Times New Roman"/>
        <family val="1"/>
      </rPr>
      <t xml:space="preserve"> 4.</t>
    </r>
    <r>
      <rPr>
        <b/>
        <sz val="12"/>
        <color theme="1"/>
        <rFont val="標楷體"/>
        <family val="4"/>
        <charset val="136"/>
      </rPr>
      <t>分母為輸血人次</t>
    </r>
    <phoneticPr fontId="1" type="noConversion"/>
  </si>
  <si>
    <t>壓力性損傷</t>
    <phoneticPr fontId="1" type="noConversion"/>
  </si>
  <si>
    <r>
      <t>壓力性損傷</t>
    </r>
    <r>
      <rPr>
        <sz val="12"/>
        <color theme="1"/>
        <rFont val="標楷體"/>
        <family val="4"/>
        <charset val="136"/>
      </rPr>
      <t>(新發生處數)</t>
    </r>
    <phoneticPr fontId="1" type="noConversion"/>
  </si>
  <si>
    <r>
      <rPr>
        <b/>
        <sz val="14"/>
        <color rgb="FFFF0000"/>
        <rFont val="Times New Roman"/>
        <family val="1"/>
      </rPr>
      <t>113</t>
    </r>
    <r>
      <rPr>
        <sz val="14"/>
        <color theme="1"/>
        <rFont val="標楷體"/>
        <family val="4"/>
        <charset val="136"/>
      </rPr>
      <t>年</t>
    </r>
    <r>
      <rPr>
        <sz val="14"/>
        <rFont val="標楷體"/>
        <family val="4"/>
        <charset val="136"/>
      </rPr>
      <t>異常事件</t>
    </r>
    <r>
      <rPr>
        <sz val="14"/>
        <rFont val="Times New Roman"/>
        <family val="1"/>
      </rPr>
      <t>-</t>
    </r>
    <r>
      <rPr>
        <sz val="14"/>
        <color indexed="10"/>
        <rFont val="Times New Roman"/>
        <family val="1"/>
      </rPr>
      <t>XX(</t>
    </r>
    <r>
      <rPr>
        <sz val="14"/>
        <color indexed="10"/>
        <rFont val="標楷體"/>
        <family val="4"/>
        <charset val="136"/>
      </rPr>
      <t>單位</t>
    </r>
    <r>
      <rPr>
        <sz val="14"/>
        <color indexed="10"/>
        <rFont val="Times New Roman"/>
        <family val="1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</si>
</sst>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3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標楷體"/>
      <family val="4"/>
      <charset val="136"/>
    </font>
    <font>
      <sz val="16"/>
      <name val="標楷體"/>
      <family val="4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4"/>
      <name val="新細明體"/>
      <family val="1"/>
      <charset val="136"/>
    </font>
    <font>
      <b/>
      <sz val="12"/>
      <color indexed="8"/>
      <name val="標楷體"/>
      <family val="4"/>
      <charset val="136"/>
    </font>
    <font>
      <sz val="12"/>
      <name val="Times New Roman"/>
      <family val="1"/>
    </font>
    <font>
      <sz val="10"/>
      <name val="Times New Roman"/>
      <family val="1"/>
    </font>
    <font>
      <sz val="12"/>
      <color indexed="8"/>
      <name val="Times New Roman"/>
      <family val="1"/>
    </font>
    <font>
      <sz val="14"/>
      <color indexed="10"/>
      <name val="標楷體"/>
      <family val="4"/>
      <charset val="136"/>
    </font>
    <font>
      <sz val="16"/>
      <name val="Times New Roman"/>
      <family val="1"/>
    </font>
    <font>
      <sz val="14"/>
      <name val="Times New Roman"/>
      <family val="1"/>
    </font>
    <font>
      <sz val="14"/>
      <color indexed="10"/>
      <name val="Times New Roman"/>
      <family val="1"/>
    </font>
    <font>
      <sz val="12"/>
      <color indexed="10"/>
      <name val="Times New Roman"/>
      <family val="1"/>
    </font>
    <font>
      <b/>
      <sz val="14"/>
      <name val="標楷體"/>
      <family val="4"/>
      <charset val="136"/>
    </font>
    <font>
      <b/>
      <sz val="14"/>
      <name val="Times New Roman"/>
      <family val="1"/>
    </font>
    <font>
      <b/>
      <sz val="11"/>
      <name val="標楷體"/>
      <family val="4"/>
      <charset val="136"/>
    </font>
    <font>
      <sz val="14"/>
      <color theme="1"/>
      <name val="標楷體"/>
      <family val="4"/>
      <charset val="136"/>
    </font>
    <font>
      <b/>
      <sz val="14"/>
      <color rgb="FFFF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標楷體"/>
      <family val="4"/>
      <charset val="136"/>
    </font>
    <font>
      <sz val="12"/>
      <color theme="1"/>
      <name val="Times New Roman"/>
      <family val="1"/>
    </font>
    <font>
      <sz val="12"/>
      <color theme="1"/>
      <name val="標楷體"/>
      <family val="4"/>
      <charset val="136"/>
    </font>
    <font>
      <vertAlign val="superscript"/>
      <sz val="12"/>
      <color theme="1"/>
      <name val="標楷體"/>
      <family val="4"/>
      <charset val="136"/>
    </font>
    <font>
      <vertAlign val="superscript"/>
      <sz val="12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177" fontId="8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8" fillId="0" borderId="0" xfId="0" applyFont="1"/>
    <xf numFmtId="177" fontId="8" fillId="3" borderId="1" xfId="0" applyNumberFormat="1" applyFont="1" applyFill="1" applyBorder="1" applyAlignment="1">
      <alignment horizontal="center" vertical="center" wrapText="1"/>
    </xf>
    <xf numFmtId="177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177" fontId="8" fillId="0" borderId="1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177" fontId="8" fillId="2" borderId="11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9" fillId="0" borderId="5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10" fontId="8" fillId="0" borderId="1" xfId="0" applyNumberFormat="1" applyFont="1" applyBorder="1" applyAlignment="1">
      <alignment horizontal="center" vertical="center"/>
    </xf>
    <xf numFmtId="0" fontId="17" fillId="0" borderId="12" xfId="0" applyFont="1" applyBorder="1" applyAlignment="1" applyProtection="1">
      <alignment horizontal="center" vertical="center" wrapText="1"/>
      <protection locked="0"/>
    </xf>
    <xf numFmtId="0" fontId="17" fillId="0" borderId="0" xfId="0" applyFont="1" applyBorder="1" applyAlignment="1" applyProtection="1">
      <alignment horizontal="center" vertical="center" wrapText="1"/>
      <protection locked="0"/>
    </xf>
    <xf numFmtId="0" fontId="17" fillId="0" borderId="13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6" xfId="0" applyFont="1" applyBorder="1" applyAlignment="1" applyProtection="1">
      <alignment horizontal="center" vertical="center" wrapText="1"/>
      <protection locked="0"/>
    </xf>
    <xf numFmtId="0" fontId="17" fillId="0" borderId="10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7" fillId="0" borderId="5" xfId="0" applyFont="1" applyBorder="1" applyAlignment="1" applyProtection="1">
      <alignment horizontal="center" vertical="center" wrapText="1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sz="1800" b="1" i="0" baseline="0">
                <a:effectLst/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112</a:t>
            </a:r>
            <a:r>
              <a:rPr lang="zh-TW" altLang="zh-TW" sz="1800" b="1" i="0" baseline="0">
                <a:effectLst/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年</a:t>
            </a:r>
            <a:r>
              <a:rPr lang="en-US" altLang="zh-TW" sz="1800" b="1" i="0" baseline="0">
                <a:solidFill>
                  <a:srgbClr val="FF0000"/>
                </a:solidFill>
                <a:effectLst/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N16</a:t>
            </a:r>
            <a:r>
              <a:rPr lang="zh-TW" altLang="zh-TW" sz="1800" b="1" i="0" baseline="0">
                <a:effectLst/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異常事件統計</a:t>
            </a:r>
            <a:endParaRPr lang="zh-TW" altLang="zh-TW">
              <a:effectLst/>
              <a:latin typeface="Times New Roman" pitchFamily="18" charset="0"/>
              <a:ea typeface="標楷體" pitchFamily="65" charset="-120"/>
              <a:cs typeface="Times New Roman" pitchFamily="18" charset="0"/>
            </a:endParaRPr>
          </a:p>
        </c:rich>
      </c:tx>
      <c:layout>
        <c:manualLayout>
          <c:xMode val="edge"/>
          <c:yMode val="edge"/>
          <c:x val="0.30185075226252456"/>
          <c:y val="3.7333608408119293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3175">
          <a:solidFill>
            <a:srgbClr val="808080"/>
          </a:solidFill>
          <a:prstDash val="solid"/>
        </a:ln>
      </c:spPr>
    </c:floor>
    <c:sideWall>
      <c:thickness val="0"/>
      <c:spPr>
        <a:solidFill>
          <a:srgbClr val="FFFFFF"/>
        </a:solidFill>
        <a:ln w="25400">
          <a:noFill/>
        </a:ln>
      </c:spPr>
    </c:sideWall>
    <c:backWall>
      <c:thickness val="0"/>
      <c:spPr>
        <a:solidFill>
          <a:srgbClr val="FFFFFF"/>
        </a:solidFill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00">
                    <a:latin typeface="Times New Roman" pitchFamily="18" charset="0"/>
                    <a:cs typeface="Times New Roman" pitchFamily="18" charset="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範例說明版!$A$51:$A$62</c:f>
              <c:strCache>
                <c:ptCount val="12"/>
                <c:pt idx="0">
                  <c:v>跌倒</c:v>
                </c:pt>
                <c:pt idx="1">
                  <c:v>壓力性損傷</c:v>
                </c:pt>
                <c:pt idx="2">
                  <c:v>針扎</c:v>
                </c:pt>
                <c:pt idx="3">
                  <c:v>失禁性皮膚炎</c:v>
                </c:pt>
                <c:pt idx="4">
                  <c:v>氣管內管滑脫(自拔)</c:v>
                </c:pt>
                <c:pt idx="5">
                  <c:v>鼻胃管滑脫(自拔)</c:v>
                </c:pt>
                <c:pt idx="6">
                  <c:v>XX滑脫(自拔)</c:v>
                </c:pt>
                <c:pt idx="7">
                  <c:v>管路事件(其他)</c:v>
                </c:pt>
                <c:pt idx="8">
                  <c:v>護理人員給藥錯誤</c:v>
                </c:pt>
                <c:pt idx="9">
                  <c:v>藥物事件(其他)</c:v>
                </c:pt>
                <c:pt idx="10">
                  <c:v>輸血事件</c:v>
                </c:pt>
                <c:pt idx="11">
                  <c:v>靜脈炎</c:v>
                </c:pt>
              </c:strCache>
            </c:strRef>
          </c:cat>
          <c:val>
            <c:numRef>
              <c:f>範例說明版!$D$51:$D$62</c:f>
              <c:numCache>
                <c:formatCode>0.00_);[Red]\(0.00\)</c:formatCode>
                <c:ptCount val="12"/>
                <c:pt idx="0">
                  <c:v>30.303030303030305</c:v>
                </c:pt>
                <c:pt idx="1">
                  <c:v>12.121212121212121</c:v>
                </c:pt>
                <c:pt idx="2">
                  <c:v>9.0909090909090917</c:v>
                </c:pt>
                <c:pt idx="3">
                  <c:v>9.0909090909090917</c:v>
                </c:pt>
                <c:pt idx="4">
                  <c:v>6.0606060606060606</c:v>
                </c:pt>
                <c:pt idx="5">
                  <c:v>6.0606060606060606</c:v>
                </c:pt>
                <c:pt idx="6">
                  <c:v>6.0606060606060606</c:v>
                </c:pt>
                <c:pt idx="7">
                  <c:v>6.0606060606060606</c:v>
                </c:pt>
                <c:pt idx="8">
                  <c:v>6.0606060606060606</c:v>
                </c:pt>
                <c:pt idx="9">
                  <c:v>3.0303030303030303</c:v>
                </c:pt>
                <c:pt idx="10">
                  <c:v>3.0303030303030303</c:v>
                </c:pt>
                <c:pt idx="11">
                  <c:v>3.0303030303030303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9-4DD7-B40D-870CD60C890D}"/>
            </c:ext>
          </c:extLst>
        </c:ser>
        <c:ser>
          <c:idx val="1"/>
          <c:order val="1"/>
          <c:invertIfNegative val="0"/>
          <c:cat>
            <c:strRef>
              <c:f>範例說明版!$A$51:$A$62</c:f>
              <c:strCache>
                <c:ptCount val="12"/>
                <c:pt idx="0">
                  <c:v>跌倒</c:v>
                </c:pt>
                <c:pt idx="1">
                  <c:v>壓力性損傷</c:v>
                </c:pt>
                <c:pt idx="2">
                  <c:v>針扎</c:v>
                </c:pt>
                <c:pt idx="3">
                  <c:v>失禁性皮膚炎</c:v>
                </c:pt>
                <c:pt idx="4">
                  <c:v>氣管內管滑脫(自拔)</c:v>
                </c:pt>
                <c:pt idx="5">
                  <c:v>鼻胃管滑脫(自拔)</c:v>
                </c:pt>
                <c:pt idx="6">
                  <c:v>XX滑脫(自拔)</c:v>
                </c:pt>
                <c:pt idx="7">
                  <c:v>管路事件(其他)</c:v>
                </c:pt>
                <c:pt idx="8">
                  <c:v>護理人員給藥錯誤</c:v>
                </c:pt>
                <c:pt idx="9">
                  <c:v>藥物事件(其他)</c:v>
                </c:pt>
                <c:pt idx="10">
                  <c:v>輸血事件</c:v>
                </c:pt>
                <c:pt idx="11">
                  <c:v>靜脈炎</c:v>
                </c:pt>
              </c:strCache>
            </c:strRef>
          </c:cat>
          <c:val>
            <c:numRef>
              <c:f>範例說明版!$E$51:$E$62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D7D9-4DD7-B40D-870CD60C8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4955032"/>
        <c:axId val="574958168"/>
        <c:axId val="0"/>
      </c:bar3DChart>
      <c:catAx>
        <c:axId val="574955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latin typeface="標楷體" pitchFamily="65" charset="-120"/>
                <a:ea typeface="標楷體" pitchFamily="65" charset="-120"/>
              </a:defRPr>
            </a:pPr>
            <a:endParaRPr lang="zh-TW"/>
          </a:p>
        </c:txPr>
        <c:crossAx val="574958168"/>
        <c:crosses val="autoZero"/>
        <c:auto val="1"/>
        <c:lblAlgn val="ctr"/>
        <c:lblOffset val="100"/>
        <c:noMultiLvlLbl val="0"/>
      </c:catAx>
      <c:valAx>
        <c:axId val="574958168"/>
        <c:scaling>
          <c:orientation val="minMax"/>
        </c:scaling>
        <c:delete val="0"/>
        <c:axPos val="l"/>
        <c:majorGridlines/>
        <c:title>
          <c:tx>
            <c:rich>
              <a:bodyPr rot="0" vert="eaVert"/>
              <a:lstStyle/>
              <a:p>
                <a:pPr>
                  <a:defRPr sz="1200">
                    <a:latin typeface="標楷體" pitchFamily="65" charset="-120"/>
                    <a:ea typeface="標楷體" pitchFamily="65" charset="-120"/>
                  </a:defRPr>
                </a:pPr>
                <a:r>
                  <a:rPr lang="zh-TW" altLang="en-US" sz="1200">
                    <a:latin typeface="Times New Roman" pitchFamily="18" charset="0"/>
                    <a:ea typeface="標楷體" pitchFamily="65" charset="-120"/>
                    <a:cs typeface="Times New Roman" pitchFamily="18" charset="0"/>
                  </a:rPr>
                  <a:t>百分比</a:t>
                </a:r>
                <a:r>
                  <a:rPr lang="en-US" altLang="zh-TW" sz="1200">
                    <a:latin typeface="Times New Roman" pitchFamily="18" charset="0"/>
                    <a:ea typeface="標楷體" pitchFamily="65" charset="-120"/>
                    <a:cs typeface="Times New Roman" pitchFamily="18" charset="0"/>
                  </a:rPr>
                  <a:t>(%)</a:t>
                </a:r>
                <a:endParaRPr lang="zh-TW" altLang="en-US" sz="1200">
                  <a:latin typeface="Times New Roman" pitchFamily="18" charset="0"/>
                  <a:ea typeface="標楷體" pitchFamily="65" charset="-120"/>
                  <a:cs typeface="Times New Roman" pitchFamily="18" charset="0"/>
                </a:endParaRP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_);[Red]\(0.00\)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57495503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sz="1800" b="1" i="0" baseline="0">
                <a:effectLst/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112</a:t>
            </a:r>
            <a:r>
              <a:rPr lang="zh-TW" altLang="zh-TW" sz="1800" b="1" i="0" baseline="0">
                <a:effectLst/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年</a:t>
            </a:r>
            <a:r>
              <a:rPr lang="en-US" altLang="zh-TW" sz="1800" b="1" i="0" baseline="0">
                <a:solidFill>
                  <a:srgbClr val="FF0000"/>
                </a:solidFill>
                <a:effectLst/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N16</a:t>
            </a:r>
            <a:r>
              <a:rPr lang="zh-TW" altLang="zh-TW" sz="1800" b="1" i="0" baseline="0">
                <a:effectLst/>
                <a:latin typeface="Times New Roman" pitchFamily="18" charset="0"/>
                <a:ea typeface="標楷體" pitchFamily="65" charset="-120"/>
                <a:cs typeface="Times New Roman" pitchFamily="18" charset="0"/>
              </a:rPr>
              <a:t>異常事件統計</a:t>
            </a:r>
            <a:endParaRPr lang="zh-TW" altLang="zh-TW">
              <a:effectLst/>
              <a:latin typeface="Times New Roman" pitchFamily="18" charset="0"/>
              <a:ea typeface="標楷體" pitchFamily="65" charset="-120"/>
              <a:cs typeface="Times New Roman" pitchFamily="18" charset="0"/>
            </a:endParaRPr>
          </a:p>
        </c:rich>
      </c:tx>
      <c:layout>
        <c:manualLayout>
          <c:xMode val="edge"/>
          <c:yMode val="edge"/>
          <c:x val="0.30185075226252456"/>
          <c:y val="3.7333608408119293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3175">
          <a:solidFill>
            <a:srgbClr val="808080"/>
          </a:solidFill>
          <a:prstDash val="solid"/>
        </a:ln>
      </c:spPr>
    </c:floor>
    <c:sideWall>
      <c:thickness val="0"/>
      <c:spPr>
        <a:solidFill>
          <a:srgbClr val="FFFFFF"/>
        </a:solidFill>
        <a:ln w="25400">
          <a:noFill/>
        </a:ln>
      </c:spPr>
    </c:sideWall>
    <c:backWall>
      <c:thickness val="0"/>
      <c:spPr>
        <a:solidFill>
          <a:srgbClr val="FFFFFF"/>
        </a:solidFill>
        <a:ln w="25400">
          <a:noFill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00">
                    <a:latin typeface="Times New Roman" pitchFamily="18" charset="0"/>
                    <a:cs typeface="Times New Roman" pitchFamily="18" charset="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填寫版!$A$51:$A$62</c:f>
              <c:strCache>
                <c:ptCount val="12"/>
                <c:pt idx="0">
                  <c:v>跌倒</c:v>
                </c:pt>
                <c:pt idx="1">
                  <c:v>壓力性損傷</c:v>
                </c:pt>
                <c:pt idx="2">
                  <c:v>針扎</c:v>
                </c:pt>
                <c:pt idx="3">
                  <c:v>失禁性皮膚炎</c:v>
                </c:pt>
                <c:pt idx="4">
                  <c:v>氣管內管滑脫(自拔)</c:v>
                </c:pt>
                <c:pt idx="5">
                  <c:v>鼻胃管滑脫(自拔)</c:v>
                </c:pt>
                <c:pt idx="6">
                  <c:v>XX滑脫(自拔)</c:v>
                </c:pt>
                <c:pt idx="7">
                  <c:v>管路事件(其他)</c:v>
                </c:pt>
                <c:pt idx="8">
                  <c:v>護理人員給藥錯誤</c:v>
                </c:pt>
                <c:pt idx="9">
                  <c:v>藥物事件(其他)</c:v>
                </c:pt>
                <c:pt idx="10">
                  <c:v>輸血事件</c:v>
                </c:pt>
                <c:pt idx="11">
                  <c:v>靜脈炎</c:v>
                </c:pt>
              </c:strCache>
            </c:strRef>
          </c:cat>
          <c:val>
            <c:numRef>
              <c:f>填寫版!$D$51:$D$62</c:f>
              <c:numCache>
                <c:formatCode>0.00_);[Red]\(0.00\)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1-4CEB-BF8C-7BC40C255385}"/>
            </c:ext>
          </c:extLst>
        </c:ser>
        <c:ser>
          <c:idx val="1"/>
          <c:order val="1"/>
          <c:invertIfNegative val="0"/>
          <c:cat>
            <c:strRef>
              <c:f>填寫版!$A$51:$A$62</c:f>
              <c:strCache>
                <c:ptCount val="12"/>
                <c:pt idx="0">
                  <c:v>跌倒</c:v>
                </c:pt>
                <c:pt idx="1">
                  <c:v>壓力性損傷</c:v>
                </c:pt>
                <c:pt idx="2">
                  <c:v>針扎</c:v>
                </c:pt>
                <c:pt idx="3">
                  <c:v>失禁性皮膚炎</c:v>
                </c:pt>
                <c:pt idx="4">
                  <c:v>氣管內管滑脫(自拔)</c:v>
                </c:pt>
                <c:pt idx="5">
                  <c:v>鼻胃管滑脫(自拔)</c:v>
                </c:pt>
                <c:pt idx="6">
                  <c:v>XX滑脫(自拔)</c:v>
                </c:pt>
                <c:pt idx="7">
                  <c:v>管路事件(其他)</c:v>
                </c:pt>
                <c:pt idx="8">
                  <c:v>護理人員給藥錯誤</c:v>
                </c:pt>
                <c:pt idx="9">
                  <c:v>藥物事件(其他)</c:v>
                </c:pt>
                <c:pt idx="10">
                  <c:v>輸血事件</c:v>
                </c:pt>
                <c:pt idx="11">
                  <c:v>靜脈炎</c:v>
                </c:pt>
              </c:strCache>
            </c:strRef>
          </c:cat>
          <c:val>
            <c:numRef>
              <c:f>填寫版!$E$51:$E$62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3DF1-4CEB-BF8C-7BC40C255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4957384"/>
        <c:axId val="574957776"/>
        <c:axId val="0"/>
      </c:bar3DChart>
      <c:catAx>
        <c:axId val="574957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latin typeface="標楷體" pitchFamily="65" charset="-120"/>
                <a:ea typeface="標楷體" pitchFamily="65" charset="-120"/>
              </a:defRPr>
            </a:pPr>
            <a:endParaRPr lang="zh-TW"/>
          </a:p>
        </c:txPr>
        <c:crossAx val="574957776"/>
        <c:crosses val="autoZero"/>
        <c:auto val="1"/>
        <c:lblAlgn val="ctr"/>
        <c:lblOffset val="100"/>
        <c:noMultiLvlLbl val="0"/>
      </c:catAx>
      <c:valAx>
        <c:axId val="574957776"/>
        <c:scaling>
          <c:orientation val="minMax"/>
        </c:scaling>
        <c:delete val="0"/>
        <c:axPos val="l"/>
        <c:majorGridlines/>
        <c:title>
          <c:tx>
            <c:rich>
              <a:bodyPr rot="0" vert="eaVert"/>
              <a:lstStyle/>
              <a:p>
                <a:pPr>
                  <a:defRPr sz="1200">
                    <a:latin typeface="標楷體" pitchFamily="65" charset="-120"/>
                    <a:ea typeface="標楷體" pitchFamily="65" charset="-120"/>
                  </a:defRPr>
                </a:pPr>
                <a:r>
                  <a:rPr lang="zh-TW" altLang="en-US" sz="1200">
                    <a:latin typeface="Times New Roman" pitchFamily="18" charset="0"/>
                    <a:ea typeface="標楷體" pitchFamily="65" charset="-120"/>
                    <a:cs typeface="Times New Roman" pitchFamily="18" charset="0"/>
                  </a:rPr>
                  <a:t>百分比</a:t>
                </a:r>
                <a:r>
                  <a:rPr lang="en-US" altLang="zh-TW" sz="1200">
                    <a:latin typeface="Times New Roman" pitchFamily="18" charset="0"/>
                    <a:ea typeface="標楷體" pitchFamily="65" charset="-120"/>
                    <a:cs typeface="Times New Roman" pitchFamily="18" charset="0"/>
                  </a:rPr>
                  <a:t>(%)</a:t>
                </a:r>
                <a:endParaRPr lang="zh-TW" altLang="en-US" sz="1200">
                  <a:latin typeface="Times New Roman" pitchFamily="18" charset="0"/>
                  <a:ea typeface="標楷體" pitchFamily="65" charset="-120"/>
                  <a:cs typeface="Times New Roman" pitchFamily="18" charset="0"/>
                </a:endParaRP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_);[Red]\(0.00\)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57495738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49</xdr:row>
      <xdr:rowOff>0</xdr:rowOff>
    </xdr:from>
    <xdr:to>
      <xdr:col>15</xdr:col>
      <xdr:colOff>762000</xdr:colOff>
      <xdr:row>62</xdr:row>
      <xdr:rowOff>276225</xdr:rowOff>
    </xdr:to>
    <xdr:graphicFrame macro="">
      <xdr:nvGraphicFramePr>
        <xdr:cNvPr id="2" name="圖表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476250</xdr:colOff>
      <xdr:row>16</xdr:row>
      <xdr:rowOff>178254</xdr:rowOff>
    </xdr:from>
    <xdr:to>
      <xdr:col>13</xdr:col>
      <xdr:colOff>419099</xdr:colOff>
      <xdr:row>20</xdr:row>
      <xdr:rowOff>161925</xdr:rowOff>
    </xdr:to>
    <xdr:sp macro="" textlink="">
      <xdr:nvSpPr>
        <xdr:cNvPr id="3" name="圓角矩形圖說文字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086225" y="3807279"/>
          <a:ext cx="5600699" cy="936171"/>
        </a:xfrm>
        <a:prstGeom prst="wedgeRoundRectCallout">
          <a:avLst>
            <a:gd name="adj1" fmla="val 65780"/>
            <a:gd name="adj2" fmla="val 6958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>
            <a:lnSpc>
              <a:spcPts val="18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1.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發生率反黃之部份皆為不同分母</a:t>
          </a:r>
          <a:endParaRPr lang="en-US" altLang="zh-TW" sz="1400" b="1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8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2.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若貴單位不需統計此大項請將整列刪除</a:t>
          </a: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(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因其發生率套好分母公式</a:t>
          </a: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)</a:t>
          </a:r>
        </a:p>
        <a:p>
          <a:pPr algn="l">
            <a:lnSpc>
              <a:spcPts val="20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3.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完成後請刪除此項說明</a:t>
          </a: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(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並將「黃色」標記改為白底</a:t>
          </a: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)</a:t>
          </a:r>
          <a:endParaRPr lang="zh-TW" altLang="en-US" sz="1400" b="1"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4</xdr:col>
      <xdr:colOff>108857</xdr:colOff>
      <xdr:row>56</xdr:row>
      <xdr:rowOff>1</xdr:rowOff>
    </xdr:from>
    <xdr:to>
      <xdr:col>11</xdr:col>
      <xdr:colOff>149678</xdr:colOff>
      <xdr:row>58</xdr:row>
      <xdr:rowOff>238125</xdr:rowOff>
    </xdr:to>
    <xdr:sp macro="" textlink="">
      <xdr:nvSpPr>
        <xdr:cNvPr id="4" name="圓角矩形圖說文字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718832" y="13754101"/>
          <a:ext cx="4441371" cy="866774"/>
        </a:xfrm>
        <a:prstGeom prst="wedgeRoundRectCallout">
          <a:avLst>
            <a:gd name="adj1" fmla="val -76748"/>
            <a:gd name="adj2" fmla="val -72468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>
            <a:lnSpc>
              <a:spcPts val="17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1.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請自行增減項目數列並依件數多至少排序</a:t>
          </a:r>
          <a:endParaRPr lang="en-US" altLang="zh-TW" sz="1400" b="1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8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2.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若有新增列數</a:t>
          </a: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,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請確認總計公式是否有全選到</a:t>
          </a:r>
          <a:endParaRPr lang="en-US" altLang="zh-TW" sz="1400" b="1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21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3.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完成後請刪除此項說明</a:t>
          </a:r>
        </a:p>
      </xdr:txBody>
    </xdr:sp>
    <xdr:clientData/>
  </xdr:twoCellAnchor>
  <xdr:twoCellAnchor>
    <xdr:from>
      <xdr:col>4</xdr:col>
      <xdr:colOff>334735</xdr:colOff>
      <xdr:row>42</xdr:row>
      <xdr:rowOff>228601</xdr:rowOff>
    </xdr:from>
    <xdr:to>
      <xdr:col>12</xdr:col>
      <xdr:colOff>47624</xdr:colOff>
      <xdr:row>45</xdr:row>
      <xdr:rowOff>209550</xdr:rowOff>
    </xdr:to>
    <xdr:sp macro="" textlink="">
      <xdr:nvSpPr>
        <xdr:cNvPr id="5" name="圓角矩形圖說文字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944710" y="9867901"/>
          <a:ext cx="4742089" cy="885824"/>
        </a:xfrm>
        <a:prstGeom prst="wedgeRoundRectCallout">
          <a:avLst>
            <a:gd name="adj1" fmla="val -49056"/>
            <a:gd name="adj2" fmla="val 22270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>
            <a:lnSpc>
              <a:spcPts val="17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1.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請記得輸入各月數值以便帶入公式計算發生率</a:t>
          </a:r>
          <a:endParaRPr lang="en-US" altLang="zh-TW" sz="1400" b="1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7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2.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若單位沒用到的分母不需輸入</a:t>
          </a: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!</a:t>
          </a:r>
          <a:br>
            <a:rPr lang="en-US" altLang="zh-TW" sz="1400" b="1">
              <a:latin typeface="微軟正黑體" pitchFamily="34" charset="-120"/>
              <a:ea typeface="微軟正黑體" pitchFamily="34" charset="-120"/>
            </a:rPr>
          </a:b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3.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完成後請刪除此項說明</a:t>
          </a:r>
        </a:p>
      </xdr:txBody>
    </xdr:sp>
    <xdr:clientData/>
  </xdr:twoCellAnchor>
  <xdr:twoCellAnchor>
    <xdr:from>
      <xdr:col>1</xdr:col>
      <xdr:colOff>1390650</xdr:colOff>
      <xdr:row>11</xdr:row>
      <xdr:rowOff>89807</xdr:rowOff>
    </xdr:from>
    <xdr:to>
      <xdr:col>7</xdr:col>
      <xdr:colOff>397329</xdr:colOff>
      <xdr:row>15</xdr:row>
      <xdr:rowOff>85725</xdr:rowOff>
    </xdr:to>
    <xdr:sp macro="" textlink="">
      <xdr:nvSpPr>
        <xdr:cNvPr id="6" name="圓角矩形圖說文字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71700" y="2528207"/>
          <a:ext cx="3721554" cy="948418"/>
        </a:xfrm>
        <a:prstGeom prst="wedgeRoundRectCallout">
          <a:avLst>
            <a:gd name="adj1" fmla="val -65190"/>
            <a:gd name="adj2" fmla="val -23809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>
            <a:lnSpc>
              <a:spcPts val="19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1.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管路事件請列出最多的三項，其餘的請加總後列入「管路事件（其他）」</a:t>
          </a:r>
          <a:endParaRPr lang="en-US" altLang="zh-TW" sz="1400" b="1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9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2.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完成後請刪除此項說明</a:t>
          </a:r>
        </a:p>
      </xdr:txBody>
    </xdr:sp>
    <xdr:clientData/>
  </xdr:twoCellAnchor>
  <xdr:twoCellAnchor>
    <xdr:from>
      <xdr:col>4</xdr:col>
      <xdr:colOff>469447</xdr:colOff>
      <xdr:row>48</xdr:row>
      <xdr:rowOff>61232</xdr:rowOff>
    </xdr:from>
    <xdr:to>
      <xdr:col>15</xdr:col>
      <xdr:colOff>153761</xdr:colOff>
      <xdr:row>53</xdr:row>
      <xdr:rowOff>17690</xdr:rowOff>
    </xdr:to>
    <xdr:sp macro="" textlink="">
      <xdr:nvSpPr>
        <xdr:cNvPr id="7" name="圓角矩形圖說文字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079422" y="11357882"/>
          <a:ext cx="6551839" cy="1470933"/>
        </a:xfrm>
        <a:prstGeom prst="wedgeRoundRectCallout">
          <a:avLst>
            <a:gd name="adj1" fmla="val -67472"/>
            <a:gd name="adj2" fmla="val -24029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>
            <a:lnSpc>
              <a:spcPts val="19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1.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此統計表請依件數多至少排序</a:t>
          </a:r>
          <a:endParaRPr lang="en-US" altLang="zh-TW" sz="1400" b="1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9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2.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此處所列出之項目謹呈現「護理單位」</a:t>
          </a: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(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自己單位發生之錯誤</a:t>
          </a: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)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之異常事件，若通報為「其他科室」之異常，不需呈現</a:t>
          </a:r>
          <a:endParaRPr lang="en-US" altLang="zh-TW" sz="1400" b="1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9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3.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此呈現之項目及數據同「四年發生率比較表」</a:t>
          </a:r>
          <a:endParaRPr lang="en-US" altLang="zh-TW" sz="1400" b="1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9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4.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完成後請刪除此項說明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49</xdr:row>
      <xdr:rowOff>0</xdr:rowOff>
    </xdr:from>
    <xdr:to>
      <xdr:col>15</xdr:col>
      <xdr:colOff>762000</xdr:colOff>
      <xdr:row>62</xdr:row>
      <xdr:rowOff>276225</xdr:rowOff>
    </xdr:to>
    <xdr:graphicFrame macro="">
      <xdr:nvGraphicFramePr>
        <xdr:cNvPr id="49154" name="圖表 3">
          <a:extLst>
            <a:ext uri="{FF2B5EF4-FFF2-40B4-BE49-F238E27FC236}">
              <a16:creationId xmlns:a16="http://schemas.microsoft.com/office/drawing/2014/main" id="{00000000-0008-0000-0100-000002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476250</xdr:colOff>
      <xdr:row>16</xdr:row>
      <xdr:rowOff>178254</xdr:rowOff>
    </xdr:from>
    <xdr:to>
      <xdr:col>13</xdr:col>
      <xdr:colOff>419099</xdr:colOff>
      <xdr:row>20</xdr:row>
      <xdr:rowOff>161925</xdr:rowOff>
    </xdr:to>
    <xdr:sp macro="" textlink="">
      <xdr:nvSpPr>
        <xdr:cNvPr id="5" name="圓角矩形圖說文字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086225" y="3807279"/>
          <a:ext cx="5600699" cy="936171"/>
        </a:xfrm>
        <a:prstGeom prst="wedgeRoundRectCallout">
          <a:avLst>
            <a:gd name="adj1" fmla="val 65780"/>
            <a:gd name="adj2" fmla="val 6958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>
            <a:lnSpc>
              <a:spcPts val="18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1.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發生率反黃之部份皆為不同分母</a:t>
          </a:r>
          <a:endParaRPr lang="en-US" altLang="zh-TW" sz="1400" b="1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8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2.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若貴單位不需統計此大項請將整列刪除</a:t>
          </a: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(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因其發生率套好分母公式</a:t>
          </a: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)</a:t>
          </a:r>
        </a:p>
        <a:p>
          <a:pPr algn="l">
            <a:lnSpc>
              <a:spcPts val="20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3.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完成後請刪除此項說明</a:t>
          </a: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(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並將「黃色」標記改為白底</a:t>
          </a: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)</a:t>
          </a:r>
          <a:endParaRPr lang="zh-TW" altLang="en-US" sz="1400" b="1">
            <a:latin typeface="微軟正黑體" pitchFamily="34" charset="-120"/>
            <a:ea typeface="微軟正黑體" pitchFamily="34" charset="-120"/>
          </a:endParaRPr>
        </a:p>
      </xdr:txBody>
    </xdr:sp>
    <xdr:clientData/>
  </xdr:twoCellAnchor>
  <xdr:twoCellAnchor>
    <xdr:from>
      <xdr:col>4</xdr:col>
      <xdr:colOff>166007</xdr:colOff>
      <xdr:row>55</xdr:row>
      <xdr:rowOff>295276</xdr:rowOff>
    </xdr:from>
    <xdr:to>
      <xdr:col>11</xdr:col>
      <xdr:colOff>206828</xdr:colOff>
      <xdr:row>58</xdr:row>
      <xdr:rowOff>219075</xdr:rowOff>
    </xdr:to>
    <xdr:sp macro="" textlink="">
      <xdr:nvSpPr>
        <xdr:cNvPr id="6" name="圓角矩形圖說文字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775982" y="13735051"/>
          <a:ext cx="4441371" cy="866774"/>
        </a:xfrm>
        <a:prstGeom prst="wedgeRoundRectCallout">
          <a:avLst>
            <a:gd name="adj1" fmla="val -76748"/>
            <a:gd name="adj2" fmla="val -72468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>
            <a:lnSpc>
              <a:spcPts val="17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1.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請自行增減項目數列並依件數多至少排序</a:t>
          </a:r>
          <a:endParaRPr lang="en-US" altLang="zh-TW" sz="1400" b="1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8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2.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若有新增列數</a:t>
          </a: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,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請確認總計公式是否有全選到</a:t>
          </a:r>
          <a:endParaRPr lang="en-US" altLang="zh-TW" sz="1400" b="1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21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3.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完成後請刪除此項說明</a:t>
          </a:r>
        </a:p>
      </xdr:txBody>
    </xdr:sp>
    <xdr:clientData/>
  </xdr:twoCellAnchor>
  <xdr:twoCellAnchor>
    <xdr:from>
      <xdr:col>4</xdr:col>
      <xdr:colOff>334735</xdr:colOff>
      <xdr:row>42</xdr:row>
      <xdr:rowOff>228601</xdr:rowOff>
    </xdr:from>
    <xdr:to>
      <xdr:col>12</xdr:col>
      <xdr:colOff>47624</xdr:colOff>
      <xdr:row>45</xdr:row>
      <xdr:rowOff>209550</xdr:rowOff>
    </xdr:to>
    <xdr:sp macro="" textlink="">
      <xdr:nvSpPr>
        <xdr:cNvPr id="7" name="圓角矩形圖說文字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944710" y="9867901"/>
          <a:ext cx="4742089" cy="885824"/>
        </a:xfrm>
        <a:prstGeom prst="wedgeRoundRectCallout">
          <a:avLst>
            <a:gd name="adj1" fmla="val -49056"/>
            <a:gd name="adj2" fmla="val 22270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>
            <a:lnSpc>
              <a:spcPts val="17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1.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請記得輸入各月數值以便帶入公式計算發生率</a:t>
          </a:r>
          <a:endParaRPr lang="en-US" altLang="zh-TW" sz="1400" b="1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7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2.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若單位沒用到的分母不需輸入</a:t>
          </a: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!</a:t>
          </a:r>
          <a:br>
            <a:rPr lang="en-US" altLang="zh-TW" sz="1400" b="1">
              <a:latin typeface="微軟正黑體" pitchFamily="34" charset="-120"/>
              <a:ea typeface="微軟正黑體" pitchFamily="34" charset="-120"/>
            </a:rPr>
          </a:b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3.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完成後請刪除此項說明</a:t>
          </a:r>
        </a:p>
      </xdr:txBody>
    </xdr:sp>
    <xdr:clientData/>
  </xdr:twoCellAnchor>
  <xdr:twoCellAnchor>
    <xdr:from>
      <xdr:col>1</xdr:col>
      <xdr:colOff>1390650</xdr:colOff>
      <xdr:row>11</xdr:row>
      <xdr:rowOff>89807</xdr:rowOff>
    </xdr:from>
    <xdr:to>
      <xdr:col>7</xdr:col>
      <xdr:colOff>397329</xdr:colOff>
      <xdr:row>15</xdr:row>
      <xdr:rowOff>85725</xdr:rowOff>
    </xdr:to>
    <xdr:sp macro="" textlink="">
      <xdr:nvSpPr>
        <xdr:cNvPr id="8" name="圓角矩形圖說文字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171700" y="2528207"/>
          <a:ext cx="3721554" cy="948418"/>
        </a:xfrm>
        <a:prstGeom prst="wedgeRoundRectCallout">
          <a:avLst>
            <a:gd name="adj1" fmla="val -65190"/>
            <a:gd name="adj2" fmla="val -23809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>
            <a:lnSpc>
              <a:spcPts val="19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1.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管路事件請列出最多的三項，其餘的請加總後列入「管路事件（其他）」</a:t>
          </a:r>
          <a:endParaRPr lang="en-US" altLang="zh-TW" sz="1400" b="1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9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2.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完成後請刪除此項說明</a:t>
          </a:r>
        </a:p>
      </xdr:txBody>
    </xdr:sp>
    <xdr:clientData/>
  </xdr:twoCellAnchor>
  <xdr:twoCellAnchor>
    <xdr:from>
      <xdr:col>4</xdr:col>
      <xdr:colOff>288472</xdr:colOff>
      <xdr:row>49</xdr:row>
      <xdr:rowOff>204107</xdr:rowOff>
    </xdr:from>
    <xdr:to>
      <xdr:col>14</xdr:col>
      <xdr:colOff>553811</xdr:colOff>
      <xdr:row>54</xdr:row>
      <xdr:rowOff>103415</xdr:rowOff>
    </xdr:to>
    <xdr:sp macro="" textlink="">
      <xdr:nvSpPr>
        <xdr:cNvPr id="9" name="圓角矩形圖說文字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898447" y="11757932"/>
          <a:ext cx="6551839" cy="1470933"/>
        </a:xfrm>
        <a:prstGeom prst="wedgeRoundRectCallout">
          <a:avLst>
            <a:gd name="adj1" fmla="val -67472"/>
            <a:gd name="adj2" fmla="val -24029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>
            <a:lnSpc>
              <a:spcPts val="19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1.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此統計表請依件數多至少排序</a:t>
          </a:r>
          <a:endParaRPr lang="en-US" altLang="zh-TW" sz="1400" b="1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9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2.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此處所列出之項目謹呈現「護理單位」</a:t>
          </a: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(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自己單位發生之錯誤</a:t>
          </a: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)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之異常事件，若通報為「其他科室」之異常，不需呈現</a:t>
          </a:r>
          <a:endParaRPr lang="en-US" altLang="zh-TW" sz="1400" b="1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9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3.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此呈現之項目及數據同「四年發生率比較表」</a:t>
          </a:r>
          <a:endParaRPr lang="en-US" altLang="zh-TW" sz="1400" b="1">
            <a:latin typeface="微軟正黑體" pitchFamily="34" charset="-120"/>
            <a:ea typeface="微軟正黑體" pitchFamily="34" charset="-120"/>
          </a:endParaRPr>
        </a:p>
        <a:p>
          <a:pPr algn="l">
            <a:lnSpc>
              <a:spcPts val="1900"/>
            </a:lnSpc>
          </a:pPr>
          <a:r>
            <a:rPr lang="en-US" altLang="zh-TW" sz="1400" b="1">
              <a:latin typeface="微軟正黑體" pitchFamily="34" charset="-120"/>
              <a:ea typeface="微軟正黑體" pitchFamily="34" charset="-120"/>
            </a:rPr>
            <a:t>4.</a:t>
          </a:r>
          <a:r>
            <a:rPr lang="zh-TW" altLang="en-US" sz="1400" b="1">
              <a:latin typeface="微軟正黑體" pitchFamily="34" charset="-120"/>
              <a:ea typeface="微軟正黑體" pitchFamily="34" charset="-120"/>
            </a:rPr>
            <a:t>完成後請刪除此項說明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"/>
  <sheetViews>
    <sheetView view="pageBreakPreview"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54" sqref="V54"/>
    </sheetView>
  </sheetViews>
  <sheetFormatPr defaultColWidth="4.75" defaultRowHeight="20.25"/>
  <cols>
    <col min="1" max="1" width="10.25" style="14" customWidth="1"/>
    <col min="2" max="2" width="20.625" style="14" customWidth="1"/>
    <col min="3" max="14" width="8.25" style="14" customWidth="1"/>
    <col min="15" max="15" width="7.625" style="14" customWidth="1"/>
    <col min="16" max="16" width="12.875" style="14" customWidth="1"/>
    <col min="17" max="16384" width="4.75" style="14"/>
  </cols>
  <sheetData>
    <row r="1" spans="1:21" s="20" customFormat="1" ht="14.1" customHeight="1">
      <c r="A1" s="91" t="s">
        <v>50</v>
      </c>
      <c r="B1" s="92"/>
      <c r="C1" s="93"/>
      <c r="D1" s="60" t="s">
        <v>51</v>
      </c>
      <c r="E1" s="61"/>
      <c r="F1" s="60" t="s">
        <v>59</v>
      </c>
      <c r="G1" s="94"/>
      <c r="H1" s="94"/>
      <c r="I1" s="94"/>
      <c r="J1" s="94"/>
      <c r="K1" s="94"/>
      <c r="L1" s="61"/>
      <c r="M1" s="68" t="s">
        <v>52</v>
      </c>
      <c r="N1" s="69"/>
      <c r="O1" s="95" t="s">
        <v>0</v>
      </c>
      <c r="P1" s="29"/>
    </row>
    <row r="2" spans="1:21" s="20" customFormat="1" ht="14.1" customHeight="1">
      <c r="A2" s="43"/>
      <c r="B2" s="44"/>
      <c r="C2" s="45"/>
      <c r="D2" s="48"/>
      <c r="E2" s="49"/>
      <c r="F2" s="48"/>
      <c r="G2" s="51"/>
      <c r="H2" s="51"/>
      <c r="I2" s="51"/>
      <c r="J2" s="51"/>
      <c r="K2" s="51"/>
      <c r="L2" s="49"/>
      <c r="M2" s="68" t="s">
        <v>53</v>
      </c>
      <c r="N2" s="69"/>
      <c r="O2" s="72" t="s">
        <v>72</v>
      </c>
      <c r="P2" s="73"/>
    </row>
    <row r="3" spans="1:21" s="20" customFormat="1" ht="14.1" customHeight="1">
      <c r="A3" s="54" t="s">
        <v>54</v>
      </c>
      <c r="B3" s="55"/>
      <c r="C3" s="56"/>
      <c r="D3" s="60" t="s">
        <v>55</v>
      </c>
      <c r="E3" s="61"/>
      <c r="F3" s="62" t="s">
        <v>56</v>
      </c>
      <c r="G3" s="63"/>
      <c r="H3" s="63"/>
      <c r="I3" s="63"/>
      <c r="J3" s="63"/>
      <c r="K3" s="63"/>
      <c r="L3" s="64"/>
      <c r="M3" s="68" t="s">
        <v>57</v>
      </c>
      <c r="N3" s="69"/>
      <c r="O3" s="72" t="s">
        <v>71</v>
      </c>
      <c r="P3" s="73"/>
    </row>
    <row r="4" spans="1:21" s="20" customFormat="1" ht="14.1" customHeight="1">
      <c r="A4" s="57"/>
      <c r="B4" s="58"/>
      <c r="C4" s="59"/>
      <c r="D4" s="48"/>
      <c r="E4" s="49"/>
      <c r="F4" s="65"/>
      <c r="G4" s="66"/>
      <c r="H4" s="66"/>
      <c r="I4" s="66"/>
      <c r="J4" s="66"/>
      <c r="K4" s="66"/>
      <c r="L4" s="67"/>
      <c r="M4" s="68" t="s">
        <v>58</v>
      </c>
      <c r="N4" s="69"/>
      <c r="O4" s="89" t="s">
        <v>63</v>
      </c>
      <c r="P4" s="90"/>
    </row>
    <row r="5" spans="1:21" ht="24.95" customHeight="1">
      <c r="A5" s="86" t="s">
        <v>70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</row>
    <row r="6" spans="1:21" ht="20.100000000000001" customHeight="1">
      <c r="A6" s="87" t="s">
        <v>74</v>
      </c>
      <c r="B6" s="88"/>
      <c r="C6" s="27" t="s">
        <v>75</v>
      </c>
      <c r="D6" s="27" t="s">
        <v>76</v>
      </c>
      <c r="E6" s="27" t="s">
        <v>77</v>
      </c>
      <c r="F6" s="27" t="s">
        <v>78</v>
      </c>
      <c r="G6" s="27" t="s">
        <v>79</v>
      </c>
      <c r="H6" s="27" t="s">
        <v>80</v>
      </c>
      <c r="I6" s="27" t="s">
        <v>81</v>
      </c>
      <c r="J6" s="27" t="s">
        <v>82</v>
      </c>
      <c r="K6" s="27" t="s">
        <v>83</v>
      </c>
      <c r="L6" s="27" t="s">
        <v>84</v>
      </c>
      <c r="M6" s="27" t="s">
        <v>85</v>
      </c>
      <c r="N6" s="27" t="s">
        <v>73</v>
      </c>
      <c r="O6" s="27" t="s">
        <v>86</v>
      </c>
      <c r="P6" s="27" t="s">
        <v>87</v>
      </c>
      <c r="Q6" s="6"/>
      <c r="R6" s="6"/>
      <c r="S6" s="6"/>
      <c r="T6" s="6"/>
      <c r="U6" s="6"/>
    </row>
    <row r="7" spans="1:21" ht="18.95" customHeight="1">
      <c r="A7" s="77" t="s">
        <v>5</v>
      </c>
      <c r="B7" s="78"/>
      <c r="C7" s="7">
        <v>1</v>
      </c>
      <c r="D7" s="7">
        <v>2</v>
      </c>
      <c r="E7" s="7"/>
      <c r="F7" s="7">
        <v>4</v>
      </c>
      <c r="G7" s="7"/>
      <c r="H7" s="7"/>
      <c r="I7" s="8">
        <v>1</v>
      </c>
      <c r="J7" s="7"/>
      <c r="K7" s="7">
        <v>1</v>
      </c>
      <c r="L7" s="7"/>
      <c r="M7" s="7"/>
      <c r="N7" s="7">
        <v>1</v>
      </c>
      <c r="O7" s="5">
        <f t="shared" ref="O7:O14" si="0">SUM(C7:N7)</f>
        <v>10</v>
      </c>
      <c r="P7" s="9">
        <f>O7/$O$43*100</f>
        <v>0.48285852245292127</v>
      </c>
      <c r="Q7" s="6"/>
      <c r="R7" s="6"/>
      <c r="S7" s="6"/>
      <c r="T7" s="6"/>
      <c r="U7" s="6"/>
    </row>
    <row r="8" spans="1:21" ht="18.95" customHeight="1">
      <c r="A8" s="85" t="s">
        <v>95</v>
      </c>
      <c r="B8" s="78"/>
      <c r="C8" s="7"/>
      <c r="D8" s="7"/>
      <c r="E8" s="7">
        <v>1</v>
      </c>
      <c r="F8" s="7"/>
      <c r="G8" s="7"/>
      <c r="H8" s="7">
        <v>1</v>
      </c>
      <c r="I8" s="8"/>
      <c r="J8" s="7">
        <v>1</v>
      </c>
      <c r="K8" s="7"/>
      <c r="L8" s="7">
        <v>1</v>
      </c>
      <c r="M8" s="7"/>
      <c r="N8" s="7"/>
      <c r="O8" s="5">
        <f t="shared" si="0"/>
        <v>4</v>
      </c>
      <c r="P8" s="9">
        <f>O8/$O$43*100</f>
        <v>0.1931434089811685</v>
      </c>
      <c r="Q8" s="6"/>
      <c r="R8" s="6"/>
      <c r="S8" s="6"/>
      <c r="T8" s="6"/>
      <c r="U8" s="6"/>
    </row>
    <row r="9" spans="1:21" ht="18.95" customHeight="1">
      <c r="A9" s="85" t="s">
        <v>88</v>
      </c>
      <c r="B9" s="78"/>
      <c r="C9" s="7"/>
      <c r="D9" s="7"/>
      <c r="E9" s="7"/>
      <c r="F9" s="7"/>
      <c r="G9" s="7">
        <v>1</v>
      </c>
      <c r="H9" s="7"/>
      <c r="I9" s="8"/>
      <c r="J9" s="7"/>
      <c r="K9" s="7">
        <v>1</v>
      </c>
      <c r="L9" s="7"/>
      <c r="M9" s="7">
        <v>1</v>
      </c>
      <c r="N9" s="7"/>
      <c r="O9" s="5">
        <f t="shared" si="0"/>
        <v>3</v>
      </c>
      <c r="P9" s="10">
        <f>O9/$N$45*100</f>
        <v>15</v>
      </c>
      <c r="Q9" s="6"/>
      <c r="R9" s="6"/>
      <c r="S9" s="6"/>
      <c r="T9" s="6"/>
      <c r="U9" s="6"/>
    </row>
    <row r="10" spans="1:21" ht="18.95" customHeight="1">
      <c r="A10" s="85" t="s">
        <v>60</v>
      </c>
      <c r="B10" s="78"/>
      <c r="C10" s="7"/>
      <c r="D10" s="7">
        <v>1</v>
      </c>
      <c r="E10" s="7">
        <v>1</v>
      </c>
      <c r="F10" s="7">
        <v>1</v>
      </c>
      <c r="G10" s="7"/>
      <c r="H10" s="7"/>
      <c r="I10" s="8"/>
      <c r="J10" s="7"/>
      <c r="K10" s="7"/>
      <c r="L10" s="7"/>
      <c r="M10" s="7"/>
      <c r="N10" s="7"/>
      <c r="O10" s="5">
        <f t="shared" si="0"/>
        <v>3</v>
      </c>
      <c r="P10" s="9">
        <f>O10/$O$43*100</f>
        <v>0.14485755673587639</v>
      </c>
      <c r="Q10" s="6"/>
      <c r="R10" s="6"/>
      <c r="S10" s="6"/>
      <c r="T10" s="6"/>
      <c r="U10" s="6"/>
    </row>
    <row r="11" spans="1:21" ht="18.95" customHeight="1">
      <c r="A11" s="77" t="s">
        <v>65</v>
      </c>
      <c r="B11" s="78"/>
      <c r="C11" s="7">
        <v>1</v>
      </c>
      <c r="D11" s="7"/>
      <c r="E11" s="7"/>
      <c r="F11" s="7"/>
      <c r="G11" s="7"/>
      <c r="H11" s="7"/>
      <c r="I11" s="8"/>
      <c r="J11" s="7"/>
      <c r="K11" s="7"/>
      <c r="L11" s="7"/>
      <c r="M11" s="7"/>
      <c r="N11" s="7">
        <v>1</v>
      </c>
      <c r="O11" s="5">
        <f t="shared" si="0"/>
        <v>2</v>
      </c>
      <c r="P11" s="21">
        <f>O11/$O$43*100</f>
        <v>9.6571704490584248E-2</v>
      </c>
      <c r="Q11" s="6"/>
      <c r="R11" s="6"/>
      <c r="S11" s="6"/>
      <c r="T11" s="6"/>
      <c r="U11" s="6"/>
    </row>
    <row r="12" spans="1:21" ht="18.95" customHeight="1">
      <c r="A12" s="77" t="s">
        <v>66</v>
      </c>
      <c r="B12" s="78"/>
      <c r="C12" s="7">
        <v>1</v>
      </c>
      <c r="D12" s="7"/>
      <c r="E12" s="7"/>
      <c r="F12" s="7"/>
      <c r="G12" s="7"/>
      <c r="H12" s="7"/>
      <c r="I12" s="8"/>
      <c r="J12" s="7"/>
      <c r="K12" s="7"/>
      <c r="L12" s="7"/>
      <c r="M12" s="7"/>
      <c r="N12" s="7">
        <v>1</v>
      </c>
      <c r="O12" s="5">
        <f t="shared" ref="O12" si="1">SUM(C12:N12)</f>
        <v>2</v>
      </c>
      <c r="P12" s="10">
        <f>O12/$O$44*100</f>
        <v>3.9215686274509802</v>
      </c>
      <c r="Q12" s="6"/>
      <c r="R12" s="6"/>
      <c r="S12" s="6"/>
      <c r="T12" s="6"/>
      <c r="U12" s="6"/>
    </row>
    <row r="13" spans="1:21" ht="18.95" customHeight="1">
      <c r="A13" s="77" t="s">
        <v>64</v>
      </c>
      <c r="B13" s="78"/>
      <c r="C13" s="7"/>
      <c r="D13" s="7">
        <v>1</v>
      </c>
      <c r="E13" s="7"/>
      <c r="F13" s="7"/>
      <c r="G13" s="7"/>
      <c r="H13" s="7"/>
      <c r="I13" s="7"/>
      <c r="J13" s="7"/>
      <c r="K13" s="7"/>
      <c r="L13" s="7"/>
      <c r="M13" s="7">
        <v>1</v>
      </c>
      <c r="N13" s="7"/>
      <c r="O13" s="5">
        <f t="shared" si="0"/>
        <v>2</v>
      </c>
      <c r="P13" s="9">
        <f>O13/$O$43*100</f>
        <v>9.6571704490584248E-2</v>
      </c>
      <c r="Q13" s="6"/>
      <c r="R13" s="6"/>
      <c r="S13" s="6"/>
      <c r="T13" s="6"/>
      <c r="U13" s="6"/>
    </row>
    <row r="14" spans="1:21" ht="18.95" customHeight="1">
      <c r="A14" s="77" t="s">
        <v>39</v>
      </c>
      <c r="B14" s="78"/>
      <c r="C14" s="7"/>
      <c r="D14" s="7"/>
      <c r="E14" s="7">
        <v>1</v>
      </c>
      <c r="F14" s="7"/>
      <c r="G14" s="7"/>
      <c r="H14" s="7"/>
      <c r="I14" s="7"/>
      <c r="J14" s="7">
        <v>1</v>
      </c>
      <c r="K14" s="7"/>
      <c r="L14" s="7"/>
      <c r="M14" s="7"/>
      <c r="N14" s="7"/>
      <c r="O14" s="5">
        <f t="shared" si="0"/>
        <v>2</v>
      </c>
      <c r="P14" s="9">
        <f>O14/$O$43*100</f>
        <v>9.6571704490584248E-2</v>
      </c>
      <c r="Q14" s="6"/>
      <c r="R14" s="6"/>
      <c r="S14" s="6"/>
      <c r="T14" s="6"/>
      <c r="U14" s="6"/>
    </row>
    <row r="15" spans="1:21" ht="18.95" customHeight="1">
      <c r="A15" s="85" t="s">
        <v>40</v>
      </c>
      <c r="B15" s="78"/>
      <c r="C15" s="7"/>
      <c r="D15" s="7"/>
      <c r="E15" s="7"/>
      <c r="F15" s="7">
        <v>1</v>
      </c>
      <c r="G15" s="7"/>
      <c r="H15" s="7"/>
      <c r="I15" s="7">
        <v>1</v>
      </c>
      <c r="J15" s="7"/>
      <c r="K15" s="7"/>
      <c r="L15" s="7"/>
      <c r="M15" s="7"/>
      <c r="N15" s="7"/>
      <c r="O15" s="5">
        <f t="shared" ref="O15:O33" si="2">SUM(C15:N15)</f>
        <v>2</v>
      </c>
      <c r="P15" s="9">
        <f>O15/$O$43*100</f>
        <v>9.6571704490584248E-2</v>
      </c>
      <c r="Q15" s="6"/>
      <c r="R15" s="6"/>
      <c r="S15" s="6"/>
      <c r="T15" s="6"/>
      <c r="U15" s="6"/>
    </row>
    <row r="16" spans="1:21" ht="18.95" customHeight="1">
      <c r="A16" s="77" t="s">
        <v>6</v>
      </c>
      <c r="B16" s="78"/>
      <c r="C16" s="7"/>
      <c r="D16" s="7"/>
      <c r="E16" s="7"/>
      <c r="F16" s="7"/>
      <c r="G16" s="7"/>
      <c r="H16" s="7">
        <v>1</v>
      </c>
      <c r="I16" s="8"/>
      <c r="J16" s="7"/>
      <c r="K16" s="7"/>
      <c r="L16" s="7">
        <v>1</v>
      </c>
      <c r="M16" s="7"/>
      <c r="N16" s="7"/>
      <c r="O16" s="5">
        <f>SUM(C16:N16)</f>
        <v>2</v>
      </c>
      <c r="P16" s="9">
        <f>O16/$O$43*100</f>
        <v>9.6571704490584248E-2</v>
      </c>
      <c r="Q16" s="6"/>
      <c r="R16" s="6"/>
      <c r="S16" s="6"/>
      <c r="T16" s="6"/>
      <c r="U16" s="6"/>
    </row>
    <row r="17" spans="1:21" ht="18.95" customHeight="1">
      <c r="A17" s="85" t="s">
        <v>41</v>
      </c>
      <c r="B17" s="78"/>
      <c r="C17" s="7"/>
      <c r="D17" s="7"/>
      <c r="E17" s="7"/>
      <c r="F17" s="7"/>
      <c r="G17" s="7"/>
      <c r="H17" s="7"/>
      <c r="I17" s="8"/>
      <c r="J17" s="7"/>
      <c r="K17" s="7"/>
      <c r="L17" s="7"/>
      <c r="M17" s="7"/>
      <c r="N17" s="7">
        <v>1</v>
      </c>
      <c r="O17" s="5">
        <f t="shared" si="2"/>
        <v>1</v>
      </c>
      <c r="P17" s="9">
        <f>O17/$O$43*100</f>
        <v>4.8285852245292124E-2</v>
      </c>
      <c r="Q17" s="6"/>
      <c r="R17" s="6"/>
      <c r="S17" s="6"/>
      <c r="T17" s="6"/>
      <c r="U17" s="6"/>
    </row>
    <row r="18" spans="1:21" ht="18.95" customHeight="1">
      <c r="A18" s="85" t="s">
        <v>89</v>
      </c>
      <c r="B18" s="78"/>
      <c r="C18" s="7"/>
      <c r="D18" s="7"/>
      <c r="E18" s="7"/>
      <c r="F18" s="7"/>
      <c r="G18" s="7"/>
      <c r="H18" s="7"/>
      <c r="I18" s="8"/>
      <c r="J18" s="7"/>
      <c r="K18" s="7"/>
      <c r="L18" s="7"/>
      <c r="M18" s="7"/>
      <c r="N18" s="7"/>
      <c r="O18" s="5">
        <f t="shared" si="2"/>
        <v>0</v>
      </c>
      <c r="P18" s="10">
        <f>O18/$O$46*100</f>
        <v>0</v>
      </c>
      <c r="Q18" s="6"/>
      <c r="R18" s="6"/>
      <c r="S18" s="6"/>
      <c r="T18" s="6"/>
      <c r="U18" s="6"/>
    </row>
    <row r="19" spans="1:21" ht="18.95" customHeight="1">
      <c r="A19" s="85" t="s">
        <v>90</v>
      </c>
      <c r="B19" s="7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5">
        <f t="shared" si="2"/>
        <v>0</v>
      </c>
      <c r="P19" s="10">
        <f>O19/$O$46*100</f>
        <v>0</v>
      </c>
      <c r="Q19" s="6"/>
      <c r="R19" s="6"/>
      <c r="S19" s="6"/>
      <c r="T19" s="6"/>
      <c r="U19" s="6"/>
    </row>
    <row r="20" spans="1:21" ht="18.95" customHeight="1">
      <c r="A20" s="85" t="s">
        <v>91</v>
      </c>
      <c r="B20" s="7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>
        <v>1</v>
      </c>
      <c r="O20" s="5">
        <f t="shared" si="2"/>
        <v>1</v>
      </c>
      <c r="P20" s="10">
        <f>O20/$O$47*100</f>
        <v>4.1666666666666661</v>
      </c>
      <c r="Q20" s="6"/>
      <c r="R20" s="6"/>
      <c r="S20" s="6"/>
      <c r="T20" s="6"/>
      <c r="U20" s="6"/>
    </row>
    <row r="21" spans="1:21" ht="18.95" customHeight="1">
      <c r="A21" s="77" t="s">
        <v>25</v>
      </c>
      <c r="B21" s="7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v>1</v>
      </c>
      <c r="O21" s="5">
        <f t="shared" si="2"/>
        <v>1</v>
      </c>
      <c r="P21" s="9">
        <f>O21/$O$43*100</f>
        <v>4.8285852245292124E-2</v>
      </c>
      <c r="Q21" s="6"/>
      <c r="R21" s="6"/>
      <c r="S21" s="6"/>
      <c r="T21" s="6"/>
      <c r="U21" s="6"/>
    </row>
    <row r="22" spans="1:21" ht="18.95" customHeight="1">
      <c r="A22" s="77"/>
      <c r="B22" s="7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5">
        <f>SUM(C22:N22)</f>
        <v>0</v>
      </c>
      <c r="P22" s="9">
        <f>O22/$O$43*100</f>
        <v>0</v>
      </c>
      <c r="Q22" s="6"/>
      <c r="R22" s="6"/>
      <c r="S22" s="6"/>
      <c r="T22" s="6"/>
      <c r="U22" s="6"/>
    </row>
    <row r="23" spans="1:21" ht="18.95" customHeight="1">
      <c r="A23" s="77"/>
      <c r="B23" s="78"/>
      <c r="C23" s="7"/>
      <c r="D23" s="7"/>
      <c r="E23" s="7"/>
      <c r="F23" s="7"/>
      <c r="G23" s="7"/>
      <c r="H23" s="7"/>
      <c r="I23" s="8"/>
      <c r="J23" s="7"/>
      <c r="K23" s="7"/>
      <c r="L23" s="7"/>
      <c r="M23" s="7"/>
      <c r="N23" s="7"/>
      <c r="O23" s="5">
        <f>SUM(C23:N23)</f>
        <v>0</v>
      </c>
      <c r="P23" s="9">
        <f>O23/$O$43*100</f>
        <v>0</v>
      </c>
      <c r="Q23" s="6"/>
      <c r="R23" s="6"/>
      <c r="S23" s="6"/>
      <c r="T23" s="6"/>
      <c r="U23" s="6"/>
    </row>
    <row r="24" spans="1:21" s="6" customFormat="1" ht="18.95" customHeight="1">
      <c r="A24" s="79" t="s">
        <v>26</v>
      </c>
      <c r="B24" s="79"/>
      <c r="C24" s="13">
        <f t="shared" ref="C24:O24" si="3">SUM(C7:C23)</f>
        <v>3</v>
      </c>
      <c r="D24" s="13">
        <f t="shared" si="3"/>
        <v>4</v>
      </c>
      <c r="E24" s="13">
        <f t="shared" si="3"/>
        <v>3</v>
      </c>
      <c r="F24" s="13">
        <f t="shared" si="3"/>
        <v>6</v>
      </c>
      <c r="G24" s="13">
        <f t="shared" si="3"/>
        <v>1</v>
      </c>
      <c r="H24" s="13">
        <f t="shared" si="3"/>
        <v>2</v>
      </c>
      <c r="I24" s="13">
        <f t="shared" si="3"/>
        <v>2</v>
      </c>
      <c r="J24" s="13">
        <f t="shared" si="3"/>
        <v>2</v>
      </c>
      <c r="K24" s="13">
        <f t="shared" si="3"/>
        <v>2</v>
      </c>
      <c r="L24" s="13">
        <f t="shared" si="3"/>
        <v>2</v>
      </c>
      <c r="M24" s="13">
        <f t="shared" si="3"/>
        <v>2</v>
      </c>
      <c r="N24" s="13">
        <f t="shared" si="3"/>
        <v>6</v>
      </c>
      <c r="O24" s="13">
        <f t="shared" si="3"/>
        <v>35</v>
      </c>
      <c r="P24" s="17"/>
    </row>
    <row r="25" spans="1:21" s="6" customFormat="1" ht="18.95" customHeight="1">
      <c r="A25" s="80" t="s">
        <v>27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2"/>
    </row>
    <row r="26" spans="1:21" ht="18.95" customHeight="1">
      <c r="A26" s="77" t="s">
        <v>28</v>
      </c>
      <c r="B26" s="78"/>
      <c r="C26" s="7">
        <v>1</v>
      </c>
      <c r="D26" s="7">
        <v>1</v>
      </c>
      <c r="E26" s="7">
        <v>1</v>
      </c>
      <c r="F26" s="7">
        <v>1</v>
      </c>
      <c r="G26" s="7">
        <v>1</v>
      </c>
      <c r="H26" s="7">
        <v>1</v>
      </c>
      <c r="I26" s="8">
        <v>1</v>
      </c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5">
        <f>SUM(C26:N26)</f>
        <v>12</v>
      </c>
      <c r="P26" s="9">
        <f t="shared" ref="P26:P34" si="4">O26/$O$43*100</f>
        <v>0.57943022694350554</v>
      </c>
      <c r="Q26" s="6"/>
      <c r="R26" s="6"/>
      <c r="S26" s="6"/>
      <c r="T26" s="6"/>
      <c r="U26" s="6"/>
    </row>
    <row r="27" spans="1:21" ht="18.95" customHeight="1">
      <c r="A27" s="77" t="s">
        <v>29</v>
      </c>
      <c r="B27" s="78"/>
      <c r="C27" s="7"/>
      <c r="D27" s="7"/>
      <c r="E27" s="7"/>
      <c r="F27" s="7"/>
      <c r="G27" s="7"/>
      <c r="H27" s="7"/>
      <c r="I27" s="8">
        <v>2</v>
      </c>
      <c r="J27" s="7"/>
      <c r="K27" s="7"/>
      <c r="L27" s="7"/>
      <c r="M27" s="7">
        <v>2</v>
      </c>
      <c r="N27" s="7"/>
      <c r="O27" s="5">
        <f>SUM(C27:N27)</f>
        <v>4</v>
      </c>
      <c r="P27" s="9">
        <f t="shared" si="4"/>
        <v>0.1931434089811685</v>
      </c>
      <c r="Q27" s="6"/>
      <c r="R27" s="6"/>
      <c r="S27" s="6"/>
      <c r="T27" s="6"/>
      <c r="U27" s="6"/>
    </row>
    <row r="28" spans="1:21" ht="18.95" customHeight="1">
      <c r="A28" s="77" t="s">
        <v>30</v>
      </c>
      <c r="B28" s="78"/>
      <c r="C28" s="7"/>
      <c r="D28" s="7"/>
      <c r="E28" s="7"/>
      <c r="F28" s="7"/>
      <c r="G28" s="7">
        <v>1</v>
      </c>
      <c r="H28" s="7"/>
      <c r="I28" s="7"/>
      <c r="J28" s="7"/>
      <c r="K28" s="7"/>
      <c r="L28" s="7"/>
      <c r="M28" s="7"/>
      <c r="N28" s="7"/>
      <c r="O28" s="5">
        <f t="shared" si="2"/>
        <v>1</v>
      </c>
      <c r="P28" s="9">
        <f t="shared" si="4"/>
        <v>4.8285852245292124E-2</v>
      </c>
      <c r="Q28" s="6"/>
      <c r="R28" s="6"/>
      <c r="S28" s="6"/>
      <c r="T28" s="6"/>
      <c r="U28" s="6"/>
    </row>
    <row r="29" spans="1:21" ht="18.95" customHeight="1">
      <c r="A29" s="77" t="s">
        <v>31</v>
      </c>
      <c r="B29" s="78"/>
      <c r="C29" s="7"/>
      <c r="D29" s="7"/>
      <c r="E29" s="7">
        <v>1</v>
      </c>
      <c r="F29" s="7"/>
      <c r="G29" s="7"/>
      <c r="H29" s="7">
        <v>1</v>
      </c>
      <c r="I29" s="7"/>
      <c r="J29" s="7"/>
      <c r="K29" s="7"/>
      <c r="L29" s="7"/>
      <c r="M29" s="7"/>
      <c r="N29" s="7"/>
      <c r="O29" s="5">
        <f t="shared" si="2"/>
        <v>2</v>
      </c>
      <c r="P29" s="9">
        <f t="shared" si="4"/>
        <v>9.6571704490584248E-2</v>
      </c>
      <c r="Q29" s="6"/>
      <c r="R29" s="6"/>
      <c r="S29" s="6"/>
      <c r="T29" s="6"/>
      <c r="U29" s="6"/>
    </row>
    <row r="30" spans="1:21" ht="18.95" customHeight="1">
      <c r="A30" s="77" t="s">
        <v>32</v>
      </c>
      <c r="B30" s="78"/>
      <c r="C30" s="7"/>
      <c r="D30" s="7"/>
      <c r="E30" s="7"/>
      <c r="F30" s="7"/>
      <c r="G30" s="7">
        <v>1</v>
      </c>
      <c r="H30" s="7"/>
      <c r="I30" s="7"/>
      <c r="J30" s="7"/>
      <c r="K30" s="7"/>
      <c r="L30" s="7"/>
      <c r="M30" s="7"/>
      <c r="N30" s="7"/>
      <c r="O30" s="5">
        <f t="shared" si="2"/>
        <v>1</v>
      </c>
      <c r="P30" s="9">
        <f t="shared" si="4"/>
        <v>4.8285852245292124E-2</v>
      </c>
      <c r="Q30" s="6"/>
      <c r="R30" s="6"/>
      <c r="S30" s="6"/>
      <c r="T30" s="6"/>
      <c r="U30" s="6"/>
    </row>
    <row r="31" spans="1:21" ht="18.95" customHeight="1">
      <c r="A31" s="77" t="s">
        <v>33</v>
      </c>
      <c r="B31" s="78"/>
      <c r="C31" s="7"/>
      <c r="D31" s="7"/>
      <c r="E31" s="7"/>
      <c r="F31" s="7"/>
      <c r="G31" s="7">
        <v>1</v>
      </c>
      <c r="H31" s="7"/>
      <c r="I31" s="7"/>
      <c r="J31" s="7"/>
      <c r="K31" s="7"/>
      <c r="L31" s="7"/>
      <c r="M31" s="7"/>
      <c r="N31" s="7"/>
      <c r="O31" s="5">
        <f>SUM(C31:N31)</f>
        <v>1</v>
      </c>
      <c r="P31" s="9">
        <f t="shared" si="4"/>
        <v>4.8285852245292124E-2</v>
      </c>
      <c r="Q31" s="6"/>
      <c r="R31" s="6"/>
      <c r="S31" s="6"/>
      <c r="T31" s="6"/>
      <c r="U31" s="6"/>
    </row>
    <row r="32" spans="1:21" ht="18.95" customHeight="1">
      <c r="A32" s="77"/>
      <c r="B32" s="7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5">
        <f>SUM(C32:N32)</f>
        <v>0</v>
      </c>
      <c r="P32" s="9">
        <f t="shared" si="4"/>
        <v>0</v>
      </c>
      <c r="Q32" s="6"/>
      <c r="R32" s="6"/>
      <c r="S32" s="6"/>
      <c r="T32" s="6"/>
      <c r="U32" s="6"/>
    </row>
    <row r="33" spans="1:21" ht="18.95" customHeight="1">
      <c r="A33" s="77"/>
      <c r="B33" s="7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5">
        <f t="shared" si="2"/>
        <v>0</v>
      </c>
      <c r="P33" s="9">
        <f t="shared" si="4"/>
        <v>0</v>
      </c>
      <c r="Q33" s="6"/>
      <c r="R33" s="6"/>
      <c r="S33" s="6"/>
      <c r="T33" s="6"/>
      <c r="U33" s="6"/>
    </row>
    <row r="34" spans="1:21" ht="18.95" customHeight="1">
      <c r="A34" s="76" t="s">
        <v>34</v>
      </c>
      <c r="B34" s="76"/>
      <c r="C34" s="19">
        <f t="shared" ref="C34:O34" si="5">SUM(C26:C33)</f>
        <v>1</v>
      </c>
      <c r="D34" s="19">
        <f t="shared" si="5"/>
        <v>1</v>
      </c>
      <c r="E34" s="19">
        <f t="shared" si="5"/>
        <v>2</v>
      </c>
      <c r="F34" s="19">
        <f t="shared" si="5"/>
        <v>1</v>
      </c>
      <c r="G34" s="19">
        <f t="shared" si="5"/>
        <v>4</v>
      </c>
      <c r="H34" s="19">
        <f t="shared" si="5"/>
        <v>2</v>
      </c>
      <c r="I34" s="19">
        <f t="shared" si="5"/>
        <v>3</v>
      </c>
      <c r="J34" s="19">
        <f t="shared" si="5"/>
        <v>1</v>
      </c>
      <c r="K34" s="19">
        <f t="shared" si="5"/>
        <v>1</v>
      </c>
      <c r="L34" s="19">
        <f t="shared" si="5"/>
        <v>1</v>
      </c>
      <c r="M34" s="19">
        <f t="shared" si="5"/>
        <v>3</v>
      </c>
      <c r="N34" s="19">
        <f t="shared" si="5"/>
        <v>1</v>
      </c>
      <c r="O34" s="19">
        <f t="shared" si="5"/>
        <v>21</v>
      </c>
      <c r="P34" s="18">
        <f t="shared" si="4"/>
        <v>1.0140028971511348</v>
      </c>
      <c r="Q34" s="6"/>
      <c r="R34" s="6"/>
      <c r="S34" s="6"/>
      <c r="T34" s="6"/>
      <c r="U34" s="6"/>
    </row>
    <row r="35" spans="1:21" s="15" customFormat="1" ht="18.95" customHeight="1">
      <c r="A35" s="83" t="s">
        <v>18</v>
      </c>
      <c r="B35" s="84"/>
      <c r="C35" s="23">
        <f t="shared" ref="C35:O35" si="6">SUM(C34,C24)</f>
        <v>4</v>
      </c>
      <c r="D35" s="23">
        <f t="shared" si="6"/>
        <v>5</v>
      </c>
      <c r="E35" s="23">
        <f t="shared" si="6"/>
        <v>5</v>
      </c>
      <c r="F35" s="23">
        <f t="shared" si="6"/>
        <v>7</v>
      </c>
      <c r="G35" s="23">
        <f t="shared" si="6"/>
        <v>5</v>
      </c>
      <c r="H35" s="23">
        <f t="shared" si="6"/>
        <v>4</v>
      </c>
      <c r="I35" s="23">
        <f t="shared" si="6"/>
        <v>5</v>
      </c>
      <c r="J35" s="23">
        <f t="shared" si="6"/>
        <v>3</v>
      </c>
      <c r="K35" s="23">
        <f t="shared" si="6"/>
        <v>3</v>
      </c>
      <c r="L35" s="23">
        <f t="shared" si="6"/>
        <v>3</v>
      </c>
      <c r="M35" s="23">
        <f t="shared" si="6"/>
        <v>5</v>
      </c>
      <c r="N35" s="23">
        <f t="shared" si="6"/>
        <v>7</v>
      </c>
      <c r="O35" s="23">
        <f t="shared" si="6"/>
        <v>56</v>
      </c>
      <c r="P35" s="24"/>
      <c r="Q35" s="11"/>
      <c r="R35" s="11"/>
      <c r="S35" s="11"/>
      <c r="T35" s="11"/>
      <c r="U35" s="11"/>
    </row>
    <row r="36" spans="1:21" s="15" customFormat="1" ht="18.95" customHeight="1">
      <c r="A36" s="28" t="s">
        <v>93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5"/>
      <c r="Q36" s="11"/>
      <c r="R36" s="11"/>
      <c r="S36" s="11"/>
      <c r="T36" s="11"/>
      <c r="U36" s="11"/>
    </row>
    <row r="37" spans="1:21" s="20" customFormat="1" ht="14.1" customHeight="1">
      <c r="A37" s="40" t="s">
        <v>50</v>
      </c>
      <c r="B37" s="41"/>
      <c r="C37" s="42"/>
      <c r="D37" s="46" t="s">
        <v>51</v>
      </c>
      <c r="E37" s="47"/>
      <c r="F37" s="46" t="s">
        <v>59</v>
      </c>
      <c r="G37" s="50"/>
      <c r="H37" s="50"/>
      <c r="I37" s="50"/>
      <c r="J37" s="50"/>
      <c r="K37" s="50"/>
      <c r="L37" s="47"/>
      <c r="M37" s="52" t="s">
        <v>52</v>
      </c>
      <c r="N37" s="53"/>
      <c r="O37" s="74" t="s">
        <v>0</v>
      </c>
      <c r="P37" s="75"/>
    </row>
    <row r="38" spans="1:21" s="20" customFormat="1" ht="14.1" customHeight="1">
      <c r="A38" s="43"/>
      <c r="B38" s="44"/>
      <c r="C38" s="45"/>
      <c r="D38" s="48"/>
      <c r="E38" s="49"/>
      <c r="F38" s="48"/>
      <c r="G38" s="51"/>
      <c r="H38" s="51"/>
      <c r="I38" s="51"/>
      <c r="J38" s="51"/>
      <c r="K38" s="51"/>
      <c r="L38" s="49"/>
      <c r="M38" s="68" t="s">
        <v>53</v>
      </c>
      <c r="N38" s="69"/>
      <c r="O38" s="72" t="s">
        <v>72</v>
      </c>
      <c r="P38" s="73"/>
    </row>
    <row r="39" spans="1:21" s="20" customFormat="1" ht="14.1" customHeight="1">
      <c r="A39" s="54" t="s">
        <v>54</v>
      </c>
      <c r="B39" s="55"/>
      <c r="C39" s="56"/>
      <c r="D39" s="60" t="s">
        <v>55</v>
      </c>
      <c r="E39" s="61"/>
      <c r="F39" s="62" t="s">
        <v>56</v>
      </c>
      <c r="G39" s="63"/>
      <c r="H39" s="63"/>
      <c r="I39" s="63"/>
      <c r="J39" s="63"/>
      <c r="K39" s="63"/>
      <c r="L39" s="64"/>
      <c r="M39" s="68" t="s">
        <v>57</v>
      </c>
      <c r="N39" s="69"/>
      <c r="O39" s="72" t="s">
        <v>71</v>
      </c>
      <c r="P39" s="73"/>
    </row>
    <row r="40" spans="1:21" s="20" customFormat="1" ht="14.1" customHeight="1">
      <c r="A40" s="57"/>
      <c r="B40" s="58"/>
      <c r="C40" s="59"/>
      <c r="D40" s="48"/>
      <c r="E40" s="49"/>
      <c r="F40" s="65"/>
      <c r="G40" s="66"/>
      <c r="H40" s="66"/>
      <c r="I40" s="66"/>
      <c r="J40" s="66"/>
      <c r="K40" s="66"/>
      <c r="L40" s="67"/>
      <c r="M40" s="68" t="s">
        <v>58</v>
      </c>
      <c r="N40" s="69"/>
      <c r="O40" s="32" t="s">
        <v>62</v>
      </c>
      <c r="P40" s="33"/>
    </row>
    <row r="41" spans="1:21" s="1" customFormat="1" ht="24.95" customHeight="1">
      <c r="A41" s="70" t="s">
        <v>42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</row>
    <row r="42" spans="1:21" ht="20.100000000000001" customHeight="1">
      <c r="A42" s="34" t="s">
        <v>7</v>
      </c>
      <c r="B42" s="35"/>
      <c r="C42" s="5" t="s">
        <v>3</v>
      </c>
      <c r="D42" s="5" t="s">
        <v>4</v>
      </c>
      <c r="E42" s="5" t="s">
        <v>8</v>
      </c>
      <c r="F42" s="5" t="s">
        <v>9</v>
      </c>
      <c r="G42" s="5" t="s">
        <v>10</v>
      </c>
      <c r="H42" s="5" t="s">
        <v>11</v>
      </c>
      <c r="I42" s="5" t="s">
        <v>12</v>
      </c>
      <c r="J42" s="5" t="s">
        <v>13</v>
      </c>
      <c r="K42" s="5" t="s">
        <v>14</v>
      </c>
      <c r="L42" s="5" t="s">
        <v>15</v>
      </c>
      <c r="M42" s="5" t="s">
        <v>16</v>
      </c>
      <c r="N42" s="5" t="s">
        <v>17</v>
      </c>
      <c r="O42" s="5" t="s">
        <v>18</v>
      </c>
      <c r="P42" s="6"/>
      <c r="Q42" s="6"/>
      <c r="R42" s="6"/>
      <c r="S42" s="6"/>
      <c r="T42" s="6"/>
      <c r="U42" s="6"/>
    </row>
    <row r="43" spans="1:21" ht="20.100000000000001" customHeight="1">
      <c r="A43" s="34" t="s">
        <v>19</v>
      </c>
      <c r="B43" s="35"/>
      <c r="C43" s="5">
        <v>121</v>
      </c>
      <c r="D43" s="5">
        <v>50</v>
      </c>
      <c r="E43" s="5">
        <v>300</v>
      </c>
      <c r="F43" s="5">
        <v>400</v>
      </c>
      <c r="G43" s="5">
        <v>500</v>
      </c>
      <c r="H43" s="5">
        <v>100</v>
      </c>
      <c r="I43" s="5">
        <v>100</v>
      </c>
      <c r="J43" s="5">
        <v>100</v>
      </c>
      <c r="K43" s="5">
        <v>100</v>
      </c>
      <c r="L43" s="5">
        <v>100</v>
      </c>
      <c r="M43" s="5">
        <v>100</v>
      </c>
      <c r="N43" s="5">
        <v>100</v>
      </c>
      <c r="O43" s="5">
        <f>SUM(C43:N43)</f>
        <v>2071</v>
      </c>
      <c r="P43" s="6"/>
      <c r="Q43" s="6"/>
      <c r="R43" s="6"/>
      <c r="S43" s="6"/>
      <c r="T43" s="6"/>
      <c r="U43" s="6"/>
    </row>
    <row r="44" spans="1:21" ht="32.25" customHeight="1">
      <c r="A44" s="71" t="s">
        <v>67</v>
      </c>
      <c r="B44" s="35"/>
      <c r="C44" s="5">
        <v>1</v>
      </c>
      <c r="D44" s="5">
        <v>2</v>
      </c>
      <c r="E44" s="5">
        <v>3</v>
      </c>
      <c r="F44" s="5">
        <v>4</v>
      </c>
      <c r="G44" s="5">
        <v>5</v>
      </c>
      <c r="H44" s="5">
        <v>6</v>
      </c>
      <c r="I44" s="5">
        <v>7</v>
      </c>
      <c r="J44" s="5">
        <v>8</v>
      </c>
      <c r="K44" s="5">
        <v>9</v>
      </c>
      <c r="L44" s="5">
        <v>1</v>
      </c>
      <c r="M44" s="5">
        <v>2</v>
      </c>
      <c r="N44" s="5">
        <v>3</v>
      </c>
      <c r="O44" s="5">
        <f>SUM(C44:N44)</f>
        <v>51</v>
      </c>
      <c r="P44" s="6"/>
      <c r="Q44" s="6"/>
      <c r="R44" s="6"/>
      <c r="S44" s="6"/>
      <c r="T44" s="6"/>
      <c r="U44" s="6"/>
    </row>
    <row r="45" spans="1:21" ht="20.100000000000001" customHeight="1">
      <c r="A45" s="34" t="s">
        <v>20</v>
      </c>
      <c r="B45" s="35"/>
      <c r="C45" s="5">
        <v>20</v>
      </c>
      <c r="D45" s="5">
        <v>20</v>
      </c>
      <c r="E45" s="5">
        <v>20</v>
      </c>
      <c r="F45" s="5">
        <v>21</v>
      </c>
      <c r="G45" s="5">
        <v>22</v>
      </c>
      <c r="H45" s="5">
        <v>23</v>
      </c>
      <c r="I45" s="5">
        <v>22</v>
      </c>
      <c r="J45" s="5">
        <v>21</v>
      </c>
      <c r="K45" s="5">
        <v>20</v>
      </c>
      <c r="L45" s="5">
        <v>19</v>
      </c>
      <c r="M45" s="5">
        <v>20</v>
      </c>
      <c r="N45" s="5">
        <v>20</v>
      </c>
      <c r="O45" s="5">
        <f>SUM(C45:N45)</f>
        <v>248</v>
      </c>
      <c r="P45" s="6"/>
      <c r="Q45" s="6"/>
      <c r="R45" s="6"/>
      <c r="S45" s="6"/>
      <c r="T45" s="6"/>
      <c r="U45" s="6"/>
    </row>
    <row r="46" spans="1:21" ht="20.100000000000001" customHeight="1">
      <c r="A46" s="34" t="s">
        <v>21</v>
      </c>
      <c r="B46" s="35"/>
      <c r="C46" s="5">
        <v>2</v>
      </c>
      <c r="D46" s="5">
        <v>2</v>
      </c>
      <c r="E46" s="5">
        <v>2</v>
      </c>
      <c r="F46" s="5">
        <v>2</v>
      </c>
      <c r="G46" s="5">
        <v>2</v>
      </c>
      <c r="H46" s="5">
        <v>2</v>
      </c>
      <c r="I46" s="5">
        <v>2</v>
      </c>
      <c r="J46" s="5">
        <v>2</v>
      </c>
      <c r="K46" s="5">
        <v>2</v>
      </c>
      <c r="L46" s="5">
        <v>2</v>
      </c>
      <c r="M46" s="5">
        <v>2</v>
      </c>
      <c r="N46" s="5">
        <v>2</v>
      </c>
      <c r="O46" s="5">
        <f>SUM(C46:N46)</f>
        <v>24</v>
      </c>
      <c r="P46" s="6"/>
      <c r="Q46" s="6"/>
      <c r="R46" s="6"/>
      <c r="S46" s="6"/>
      <c r="T46" s="6"/>
      <c r="U46" s="6"/>
    </row>
    <row r="47" spans="1:21" ht="20.100000000000001" customHeight="1">
      <c r="A47" s="34" t="s">
        <v>22</v>
      </c>
      <c r="B47" s="35"/>
      <c r="C47" s="5">
        <v>2</v>
      </c>
      <c r="D47" s="5">
        <v>2</v>
      </c>
      <c r="E47" s="5">
        <v>2</v>
      </c>
      <c r="F47" s="5">
        <v>2</v>
      </c>
      <c r="G47" s="5">
        <v>2</v>
      </c>
      <c r="H47" s="5">
        <v>2</v>
      </c>
      <c r="I47" s="5">
        <v>2</v>
      </c>
      <c r="J47" s="5">
        <v>2</v>
      </c>
      <c r="K47" s="5">
        <v>2</v>
      </c>
      <c r="L47" s="5">
        <v>2</v>
      </c>
      <c r="M47" s="5">
        <v>2</v>
      </c>
      <c r="N47" s="5">
        <v>2</v>
      </c>
      <c r="O47" s="5">
        <f>SUM(C47:N47)</f>
        <v>24</v>
      </c>
      <c r="P47" s="6"/>
      <c r="Q47" s="6"/>
      <c r="R47" s="6"/>
      <c r="S47" s="6"/>
      <c r="T47" s="6"/>
      <c r="U47" s="6"/>
    </row>
    <row r="48" spans="1:2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6"/>
      <c r="P48" s="6"/>
      <c r="Q48" s="6"/>
      <c r="R48" s="6"/>
      <c r="S48" s="6"/>
      <c r="T48" s="6"/>
      <c r="U48" s="6"/>
    </row>
    <row r="49" spans="1:21">
      <c r="A49" s="36" t="s">
        <v>49</v>
      </c>
      <c r="B49" s="37"/>
      <c r="C49" s="37"/>
      <c r="D49" s="37"/>
      <c r="E49" s="37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6"/>
      <c r="R49" s="6"/>
      <c r="S49" s="6"/>
      <c r="T49" s="6"/>
      <c r="U49" s="6"/>
    </row>
    <row r="50" spans="1:21" s="12" customFormat="1" ht="24.95" customHeight="1">
      <c r="A50" s="29" t="s">
        <v>23</v>
      </c>
      <c r="B50" s="29"/>
      <c r="C50" s="26" t="s">
        <v>24</v>
      </c>
      <c r="D50" s="39" t="s">
        <v>48</v>
      </c>
      <c r="E50" s="29"/>
    </row>
    <row r="51" spans="1:21" s="12" customFormat="1" ht="24.95" customHeight="1">
      <c r="A51" s="29" t="s">
        <v>1</v>
      </c>
      <c r="B51" s="29"/>
      <c r="C51" s="3">
        <v>10</v>
      </c>
      <c r="D51" s="30">
        <f>C51/$C$63*100</f>
        <v>30.303030303030305</v>
      </c>
      <c r="E51" s="29"/>
    </row>
    <row r="52" spans="1:21" s="12" customFormat="1" ht="24.95" customHeight="1">
      <c r="A52" s="31" t="s">
        <v>94</v>
      </c>
      <c r="B52" s="29"/>
      <c r="C52" s="3">
        <v>4</v>
      </c>
      <c r="D52" s="30">
        <f t="shared" ref="D52:D62" si="7">C52/$C$63*100</f>
        <v>12.121212121212121</v>
      </c>
      <c r="E52" s="29"/>
    </row>
    <row r="53" spans="1:21" s="12" customFormat="1" ht="24.95" customHeight="1">
      <c r="A53" s="29" t="s">
        <v>2</v>
      </c>
      <c r="B53" s="29"/>
      <c r="C53" s="3">
        <v>3</v>
      </c>
      <c r="D53" s="30">
        <f t="shared" si="7"/>
        <v>9.0909090909090917</v>
      </c>
      <c r="E53" s="29"/>
    </row>
    <row r="54" spans="1:21" s="12" customFormat="1" ht="24.95" customHeight="1">
      <c r="A54" s="31" t="s">
        <v>60</v>
      </c>
      <c r="B54" s="29"/>
      <c r="C54" s="3">
        <v>3</v>
      </c>
      <c r="D54" s="30">
        <f t="shared" si="7"/>
        <v>9.0909090909090917</v>
      </c>
      <c r="E54" s="29"/>
    </row>
    <row r="55" spans="1:21" s="12" customFormat="1" ht="24.95" customHeight="1">
      <c r="A55" s="29" t="s">
        <v>68</v>
      </c>
      <c r="B55" s="29"/>
      <c r="C55" s="3">
        <v>2</v>
      </c>
      <c r="D55" s="30">
        <f t="shared" si="7"/>
        <v>6.0606060606060606</v>
      </c>
      <c r="E55" s="29"/>
    </row>
    <row r="56" spans="1:21" s="12" customFormat="1" ht="24.95" customHeight="1">
      <c r="A56" s="29" t="s">
        <v>64</v>
      </c>
      <c r="B56" s="29"/>
      <c r="C56" s="3">
        <v>2</v>
      </c>
      <c r="D56" s="30">
        <f t="shared" si="7"/>
        <v>6.0606060606060606</v>
      </c>
      <c r="E56" s="29"/>
    </row>
    <row r="57" spans="1:21" s="12" customFormat="1" ht="24.95" customHeight="1">
      <c r="A57" s="29" t="s">
        <v>38</v>
      </c>
      <c r="B57" s="29"/>
      <c r="C57" s="3">
        <v>2</v>
      </c>
      <c r="D57" s="30">
        <f t="shared" si="7"/>
        <v>6.0606060606060606</v>
      </c>
      <c r="E57" s="29"/>
    </row>
    <row r="58" spans="1:21" s="12" customFormat="1" ht="24.95" customHeight="1">
      <c r="A58" s="29" t="s">
        <v>46</v>
      </c>
      <c r="B58" s="29"/>
      <c r="C58" s="4">
        <v>2</v>
      </c>
      <c r="D58" s="30">
        <f t="shared" si="7"/>
        <v>6.0606060606060606</v>
      </c>
      <c r="E58" s="29"/>
    </row>
    <row r="59" spans="1:21" s="12" customFormat="1" ht="24.95" customHeight="1">
      <c r="A59" s="29" t="s">
        <v>43</v>
      </c>
      <c r="B59" s="29"/>
      <c r="C59" s="3">
        <v>2</v>
      </c>
      <c r="D59" s="30">
        <f t="shared" si="7"/>
        <v>6.0606060606060606</v>
      </c>
      <c r="E59" s="29"/>
    </row>
    <row r="60" spans="1:21" s="12" customFormat="1" ht="24.95" customHeight="1">
      <c r="A60" s="29" t="s">
        <v>47</v>
      </c>
      <c r="B60" s="29"/>
      <c r="C60" s="4">
        <v>1</v>
      </c>
      <c r="D60" s="30">
        <f t="shared" si="7"/>
        <v>3.0303030303030303</v>
      </c>
      <c r="E60" s="29"/>
    </row>
    <row r="61" spans="1:21" s="12" customFormat="1" ht="24.95" customHeight="1">
      <c r="A61" s="29" t="s">
        <v>44</v>
      </c>
      <c r="B61" s="29"/>
      <c r="C61" s="3">
        <v>1</v>
      </c>
      <c r="D61" s="30">
        <f t="shared" si="7"/>
        <v>3.0303030303030303</v>
      </c>
      <c r="E61" s="29"/>
    </row>
    <row r="62" spans="1:21" s="12" customFormat="1" ht="24.95" customHeight="1">
      <c r="A62" s="29" t="s">
        <v>45</v>
      </c>
      <c r="B62" s="29"/>
      <c r="C62" s="3">
        <v>1</v>
      </c>
      <c r="D62" s="30">
        <f t="shared" si="7"/>
        <v>3.0303030303030303</v>
      </c>
      <c r="E62" s="29"/>
    </row>
    <row r="63" spans="1:21" s="12" customFormat="1" ht="24.95" customHeight="1">
      <c r="A63" s="29" t="s">
        <v>18</v>
      </c>
      <c r="B63" s="29"/>
      <c r="C63" s="26">
        <f>SUM(C51:C62)</f>
        <v>33</v>
      </c>
      <c r="D63" s="30">
        <f>SUM(D51:D62)</f>
        <v>100.00000000000001</v>
      </c>
      <c r="E63" s="29"/>
    </row>
    <row r="64" spans="1:21" s="16" customFormat="1" ht="21.75" customHeight="1">
      <c r="C64" s="14"/>
    </row>
    <row r="65" spans="1:14" s="16" customFormat="1" ht="21.75" customHeight="1">
      <c r="B65" s="16" t="s">
        <v>35</v>
      </c>
      <c r="H65" s="16" t="s">
        <v>36</v>
      </c>
      <c r="J65" s="14"/>
      <c r="N65" s="16" t="s">
        <v>37</v>
      </c>
    </row>
    <row r="66" spans="1:14" s="16" customFormat="1" ht="21.75" customHeight="1">
      <c r="A66" s="14"/>
      <c r="B66" s="14"/>
      <c r="C66" s="14"/>
      <c r="D66" s="14"/>
      <c r="E66" s="14"/>
    </row>
    <row r="67" spans="1:14" s="16" customFormat="1" ht="18" customHeight="1">
      <c r="A67" s="14"/>
      <c r="B67" s="14"/>
      <c r="C67" s="14"/>
      <c r="D67" s="14"/>
      <c r="E67" s="14"/>
    </row>
  </sheetData>
  <mergeCells count="95">
    <mergeCell ref="A1:C2"/>
    <mergeCell ref="D1:E2"/>
    <mergeCell ref="F1:L2"/>
    <mergeCell ref="M1:N1"/>
    <mergeCell ref="O1:P1"/>
    <mergeCell ref="M2:N2"/>
    <mergeCell ref="O2:P2"/>
    <mergeCell ref="A10:B10"/>
    <mergeCell ref="A3:C4"/>
    <mergeCell ref="D3:E4"/>
    <mergeCell ref="F3:L4"/>
    <mergeCell ref="M3:N3"/>
    <mergeCell ref="A5:P5"/>
    <mergeCell ref="A6:B6"/>
    <mergeCell ref="A7:B7"/>
    <mergeCell ref="A8:B8"/>
    <mergeCell ref="A9:B9"/>
    <mergeCell ref="O3:P3"/>
    <mergeCell ref="M4:N4"/>
    <mergeCell ref="O4:P4"/>
    <mergeCell ref="A22:B22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O37:P37"/>
    <mergeCell ref="M38:N38"/>
    <mergeCell ref="O38:P38"/>
    <mergeCell ref="A34:B34"/>
    <mergeCell ref="A23:B23"/>
    <mergeCell ref="A24:B24"/>
    <mergeCell ref="A25:P25"/>
    <mergeCell ref="A26:B26"/>
    <mergeCell ref="A27:B27"/>
    <mergeCell ref="A28:B28"/>
    <mergeCell ref="A29:B29"/>
    <mergeCell ref="A30:B30"/>
    <mergeCell ref="A31:B31"/>
    <mergeCell ref="A32:B32"/>
    <mergeCell ref="A33:B33"/>
    <mergeCell ref="A35:B35"/>
    <mergeCell ref="A37:C38"/>
    <mergeCell ref="D37:E38"/>
    <mergeCell ref="F37:L38"/>
    <mergeCell ref="M37:N37"/>
    <mergeCell ref="A46:B46"/>
    <mergeCell ref="A39:C40"/>
    <mergeCell ref="D39:E40"/>
    <mergeCell ref="F39:L40"/>
    <mergeCell ref="M39:N39"/>
    <mergeCell ref="A41:P41"/>
    <mergeCell ref="A42:B42"/>
    <mergeCell ref="A43:B43"/>
    <mergeCell ref="A44:B44"/>
    <mergeCell ref="A45:B45"/>
    <mergeCell ref="O39:P39"/>
    <mergeCell ref="M40:N40"/>
    <mergeCell ref="O40:P40"/>
    <mergeCell ref="A47:B47"/>
    <mergeCell ref="A49:P49"/>
    <mergeCell ref="A50:B50"/>
    <mergeCell ref="D50:E50"/>
    <mergeCell ref="A51:B51"/>
    <mergeCell ref="D51:E51"/>
    <mergeCell ref="A52:B52"/>
    <mergeCell ref="D52:E52"/>
    <mergeCell ref="A53:B53"/>
    <mergeCell ref="D53:E53"/>
    <mergeCell ref="A54:B54"/>
    <mergeCell ref="D54:E54"/>
    <mergeCell ref="A55:B55"/>
    <mergeCell ref="D55:E55"/>
    <mergeCell ref="A56:B56"/>
    <mergeCell ref="D56:E56"/>
    <mergeCell ref="A57:B57"/>
    <mergeCell ref="D57:E57"/>
    <mergeCell ref="A58:B58"/>
    <mergeCell ref="D58:E58"/>
    <mergeCell ref="A59:B59"/>
    <mergeCell ref="D59:E59"/>
    <mergeCell ref="A63:B63"/>
    <mergeCell ref="D63:E63"/>
    <mergeCell ref="A60:B60"/>
    <mergeCell ref="D60:E60"/>
    <mergeCell ref="A61:B61"/>
    <mergeCell ref="D61:E61"/>
    <mergeCell ref="A62:B62"/>
    <mergeCell ref="D62:E62"/>
  </mergeCells>
  <phoneticPr fontId="1" type="noConversion"/>
  <printOptions horizontalCentered="1"/>
  <pageMargins left="0.19685039370078741" right="0.19685039370078741" top="3.937007874015748E-2" bottom="0.27559055118110237" header="3.937007874015748E-2" footer="0.43307086614173229"/>
  <pageSetup paperSize="9" scale="88" orientation="landscape" r:id="rId1"/>
  <headerFooter alignWithMargins="0"/>
  <rowBreaks count="1" manualBreakCount="1">
    <brk id="3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7"/>
  <sheetViews>
    <sheetView tabSelected="1" view="pageBreakPreview"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3" sqref="I13"/>
    </sheetView>
  </sheetViews>
  <sheetFormatPr defaultColWidth="4.75" defaultRowHeight="20.25"/>
  <cols>
    <col min="1" max="1" width="10.25" style="14" customWidth="1"/>
    <col min="2" max="2" width="20.625" style="14" customWidth="1"/>
    <col min="3" max="14" width="8.25" style="14" customWidth="1"/>
    <col min="15" max="15" width="7.625" style="14" customWidth="1"/>
    <col min="16" max="16" width="12.875" style="14" customWidth="1"/>
    <col min="17" max="16384" width="4.75" style="14"/>
  </cols>
  <sheetData>
    <row r="1" spans="1:21" s="20" customFormat="1" ht="14.1" customHeight="1">
      <c r="A1" s="91" t="s">
        <v>50</v>
      </c>
      <c r="B1" s="92"/>
      <c r="C1" s="93"/>
      <c r="D1" s="60" t="s">
        <v>51</v>
      </c>
      <c r="E1" s="61"/>
      <c r="F1" s="60" t="s">
        <v>59</v>
      </c>
      <c r="G1" s="94"/>
      <c r="H1" s="94"/>
      <c r="I1" s="94"/>
      <c r="J1" s="94"/>
      <c r="K1" s="94"/>
      <c r="L1" s="61"/>
      <c r="M1" s="68" t="s">
        <v>52</v>
      </c>
      <c r="N1" s="69"/>
      <c r="O1" s="95" t="s">
        <v>0</v>
      </c>
      <c r="P1" s="29"/>
    </row>
    <row r="2" spans="1:21" s="20" customFormat="1" ht="14.1" customHeight="1">
      <c r="A2" s="43"/>
      <c r="B2" s="44"/>
      <c r="C2" s="45"/>
      <c r="D2" s="48"/>
      <c r="E2" s="49"/>
      <c r="F2" s="48"/>
      <c r="G2" s="51"/>
      <c r="H2" s="51"/>
      <c r="I2" s="51"/>
      <c r="J2" s="51"/>
      <c r="K2" s="51"/>
      <c r="L2" s="49"/>
      <c r="M2" s="68" t="s">
        <v>53</v>
      </c>
      <c r="N2" s="69"/>
      <c r="O2" s="72" t="s">
        <v>72</v>
      </c>
      <c r="P2" s="73"/>
    </row>
    <row r="3" spans="1:21" s="20" customFormat="1" ht="14.1" customHeight="1">
      <c r="A3" s="54" t="s">
        <v>54</v>
      </c>
      <c r="B3" s="55"/>
      <c r="C3" s="56"/>
      <c r="D3" s="60" t="s">
        <v>55</v>
      </c>
      <c r="E3" s="61"/>
      <c r="F3" s="62" t="s">
        <v>56</v>
      </c>
      <c r="G3" s="63"/>
      <c r="H3" s="63"/>
      <c r="I3" s="63"/>
      <c r="J3" s="63"/>
      <c r="K3" s="63"/>
      <c r="L3" s="64"/>
      <c r="M3" s="68" t="s">
        <v>57</v>
      </c>
      <c r="N3" s="69"/>
      <c r="O3" s="72" t="s">
        <v>71</v>
      </c>
      <c r="P3" s="73"/>
    </row>
    <row r="4" spans="1:21" s="20" customFormat="1" ht="14.1" customHeight="1">
      <c r="A4" s="57"/>
      <c r="B4" s="58"/>
      <c r="C4" s="59"/>
      <c r="D4" s="48"/>
      <c r="E4" s="49"/>
      <c r="F4" s="65"/>
      <c r="G4" s="66"/>
      <c r="H4" s="66"/>
      <c r="I4" s="66"/>
      <c r="J4" s="66"/>
      <c r="K4" s="66"/>
      <c r="L4" s="67"/>
      <c r="M4" s="68" t="s">
        <v>58</v>
      </c>
      <c r="N4" s="69"/>
      <c r="O4" s="89" t="s">
        <v>63</v>
      </c>
      <c r="P4" s="90"/>
    </row>
    <row r="5" spans="1:21" ht="24.95" customHeight="1">
      <c r="A5" s="86" t="s">
        <v>96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</row>
    <row r="6" spans="1:21" ht="20.100000000000001" customHeight="1">
      <c r="A6" s="87" t="s">
        <v>74</v>
      </c>
      <c r="B6" s="88"/>
      <c r="C6" s="27" t="s">
        <v>75</v>
      </c>
      <c r="D6" s="27" t="s">
        <v>76</v>
      </c>
      <c r="E6" s="27" t="s">
        <v>77</v>
      </c>
      <c r="F6" s="27" t="s">
        <v>78</v>
      </c>
      <c r="G6" s="27" t="s">
        <v>79</v>
      </c>
      <c r="H6" s="27" t="s">
        <v>80</v>
      </c>
      <c r="I6" s="27" t="s">
        <v>81</v>
      </c>
      <c r="J6" s="27" t="s">
        <v>82</v>
      </c>
      <c r="K6" s="27" t="s">
        <v>83</v>
      </c>
      <c r="L6" s="27" t="s">
        <v>84</v>
      </c>
      <c r="M6" s="27" t="s">
        <v>85</v>
      </c>
      <c r="N6" s="27" t="s">
        <v>73</v>
      </c>
      <c r="O6" s="27" t="s">
        <v>86</v>
      </c>
      <c r="P6" s="27" t="s">
        <v>87</v>
      </c>
      <c r="Q6" s="6"/>
      <c r="R6" s="6"/>
      <c r="S6" s="6"/>
      <c r="T6" s="6"/>
      <c r="U6" s="6"/>
    </row>
    <row r="7" spans="1:21" ht="18.95" customHeight="1">
      <c r="A7" s="77" t="s">
        <v>5</v>
      </c>
      <c r="B7" s="78"/>
      <c r="C7" s="7"/>
      <c r="D7" s="7"/>
      <c r="E7" s="7"/>
      <c r="F7" s="7"/>
      <c r="G7" s="7"/>
      <c r="H7" s="7"/>
      <c r="I7" s="8"/>
      <c r="J7" s="7"/>
      <c r="K7" s="7"/>
      <c r="L7" s="7"/>
      <c r="M7" s="7"/>
      <c r="N7" s="7"/>
      <c r="O7" s="5">
        <f t="shared" ref="O7:O14" si="0">SUM(C7:N7)</f>
        <v>0</v>
      </c>
      <c r="P7" s="9" t="e">
        <f>O7/$O$43*100</f>
        <v>#DIV/0!</v>
      </c>
      <c r="Q7" s="6"/>
      <c r="R7" s="6"/>
      <c r="S7" s="6"/>
      <c r="T7" s="6"/>
      <c r="U7" s="6"/>
    </row>
    <row r="8" spans="1:21" ht="18.95" customHeight="1">
      <c r="A8" s="85" t="s">
        <v>92</v>
      </c>
      <c r="B8" s="78"/>
      <c r="C8" s="7"/>
      <c r="D8" s="7"/>
      <c r="E8" s="7"/>
      <c r="F8" s="7"/>
      <c r="G8" s="7"/>
      <c r="H8" s="7"/>
      <c r="I8" s="8"/>
      <c r="J8" s="7"/>
      <c r="K8" s="7"/>
      <c r="L8" s="7"/>
      <c r="M8" s="7"/>
      <c r="N8" s="7"/>
      <c r="O8" s="5">
        <f t="shared" si="0"/>
        <v>0</v>
      </c>
      <c r="P8" s="9" t="e">
        <f>O8/$O$43*100</f>
        <v>#DIV/0!</v>
      </c>
      <c r="Q8" s="6"/>
      <c r="R8" s="6"/>
      <c r="S8" s="6"/>
      <c r="T8" s="6"/>
      <c r="U8" s="6"/>
    </row>
    <row r="9" spans="1:21" ht="18.95" customHeight="1">
      <c r="A9" s="85" t="s">
        <v>88</v>
      </c>
      <c r="B9" s="78"/>
      <c r="C9" s="7"/>
      <c r="D9" s="7"/>
      <c r="E9" s="7"/>
      <c r="F9" s="7"/>
      <c r="G9" s="7"/>
      <c r="H9" s="7"/>
      <c r="I9" s="8"/>
      <c r="J9" s="7"/>
      <c r="K9" s="7"/>
      <c r="L9" s="7"/>
      <c r="M9" s="7"/>
      <c r="N9" s="7"/>
      <c r="O9" s="5">
        <f t="shared" si="0"/>
        <v>0</v>
      </c>
      <c r="P9" s="10" t="e">
        <f>O9/$N$45*100</f>
        <v>#DIV/0!</v>
      </c>
      <c r="Q9" s="6"/>
      <c r="R9" s="6"/>
      <c r="S9" s="6"/>
      <c r="T9" s="6"/>
      <c r="U9" s="6"/>
    </row>
    <row r="10" spans="1:21" ht="18.95" customHeight="1">
      <c r="A10" s="85" t="s">
        <v>60</v>
      </c>
      <c r="B10" s="78"/>
      <c r="C10" s="7"/>
      <c r="D10" s="7"/>
      <c r="E10" s="7"/>
      <c r="F10" s="7"/>
      <c r="G10" s="7"/>
      <c r="H10" s="7"/>
      <c r="I10" s="8"/>
      <c r="J10" s="7"/>
      <c r="K10" s="7"/>
      <c r="L10" s="7"/>
      <c r="M10" s="7"/>
      <c r="N10" s="7"/>
      <c r="O10" s="5">
        <f t="shared" si="0"/>
        <v>0</v>
      </c>
      <c r="P10" s="9" t="e">
        <f>O10/$O$43*100</f>
        <v>#DIV/0!</v>
      </c>
      <c r="Q10" s="6"/>
      <c r="R10" s="6"/>
      <c r="S10" s="6"/>
      <c r="T10" s="6"/>
      <c r="U10" s="6"/>
    </row>
    <row r="11" spans="1:21" ht="18.95" customHeight="1">
      <c r="A11" s="77" t="s">
        <v>65</v>
      </c>
      <c r="B11" s="78"/>
      <c r="C11" s="7"/>
      <c r="D11" s="7"/>
      <c r="E11" s="7"/>
      <c r="F11" s="7"/>
      <c r="G11" s="7"/>
      <c r="H11" s="7"/>
      <c r="I11" s="8"/>
      <c r="J11" s="7"/>
      <c r="K11" s="7"/>
      <c r="L11" s="7"/>
      <c r="M11" s="7"/>
      <c r="N11" s="7"/>
      <c r="O11" s="5">
        <f t="shared" si="0"/>
        <v>0</v>
      </c>
      <c r="P11" s="21" t="e">
        <f>O11/$O$43*100</f>
        <v>#DIV/0!</v>
      </c>
      <c r="Q11" s="6"/>
      <c r="R11" s="6"/>
      <c r="S11" s="6"/>
      <c r="T11" s="6"/>
      <c r="U11" s="6"/>
    </row>
    <row r="12" spans="1:21" ht="18.95" customHeight="1">
      <c r="A12" s="77" t="s">
        <v>66</v>
      </c>
      <c r="B12" s="78"/>
      <c r="C12" s="7"/>
      <c r="D12" s="7"/>
      <c r="E12" s="7"/>
      <c r="F12" s="7"/>
      <c r="G12" s="7"/>
      <c r="H12" s="7"/>
      <c r="I12" s="8"/>
      <c r="J12" s="7"/>
      <c r="K12" s="7"/>
      <c r="L12" s="7"/>
      <c r="M12" s="7"/>
      <c r="N12" s="7"/>
      <c r="O12" s="5">
        <f t="shared" ref="O12" si="1">SUM(C12:N12)</f>
        <v>0</v>
      </c>
      <c r="P12" s="10" t="e">
        <f>O12/$O$44*100</f>
        <v>#DIV/0!</v>
      </c>
      <c r="Q12" s="6"/>
      <c r="R12" s="6"/>
      <c r="S12" s="6"/>
      <c r="T12" s="6"/>
      <c r="U12" s="6"/>
    </row>
    <row r="13" spans="1:21" ht="18.95" customHeight="1">
      <c r="A13" s="77" t="s">
        <v>64</v>
      </c>
      <c r="B13" s="7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5">
        <f t="shared" si="0"/>
        <v>0</v>
      </c>
      <c r="P13" s="9" t="e">
        <f>O13/$O$43*100</f>
        <v>#DIV/0!</v>
      </c>
      <c r="Q13" s="6"/>
      <c r="R13" s="6"/>
      <c r="S13" s="6"/>
      <c r="T13" s="6"/>
      <c r="U13" s="6"/>
    </row>
    <row r="14" spans="1:21" ht="18.95" customHeight="1">
      <c r="A14" s="77" t="s">
        <v>39</v>
      </c>
      <c r="B14" s="7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5">
        <f t="shared" si="0"/>
        <v>0</v>
      </c>
      <c r="P14" s="9" t="e">
        <f>O14/$O$43*100</f>
        <v>#DIV/0!</v>
      </c>
      <c r="Q14" s="6"/>
      <c r="R14" s="6"/>
      <c r="S14" s="6"/>
      <c r="T14" s="6"/>
      <c r="U14" s="6"/>
    </row>
    <row r="15" spans="1:21" ht="18.95" customHeight="1">
      <c r="A15" s="85" t="s">
        <v>40</v>
      </c>
      <c r="B15" s="7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5">
        <f t="shared" ref="O15:O33" si="2">SUM(C15:N15)</f>
        <v>0</v>
      </c>
      <c r="P15" s="9" t="e">
        <f>O15/$O$43*100</f>
        <v>#DIV/0!</v>
      </c>
      <c r="Q15" s="6"/>
      <c r="R15" s="6"/>
      <c r="S15" s="6"/>
      <c r="T15" s="6"/>
      <c r="U15" s="6"/>
    </row>
    <row r="16" spans="1:21" ht="18.95" customHeight="1">
      <c r="A16" s="77" t="s">
        <v>6</v>
      </c>
      <c r="B16" s="78"/>
      <c r="C16" s="7"/>
      <c r="D16" s="7"/>
      <c r="E16" s="7"/>
      <c r="F16" s="7"/>
      <c r="G16" s="7"/>
      <c r="H16" s="7"/>
      <c r="I16" s="8"/>
      <c r="J16" s="7"/>
      <c r="K16" s="7"/>
      <c r="L16" s="7"/>
      <c r="M16" s="7"/>
      <c r="N16" s="7"/>
      <c r="O16" s="5">
        <f>SUM(C16:N16)</f>
        <v>0</v>
      </c>
      <c r="P16" s="9" t="e">
        <f>O16/$O$43*100</f>
        <v>#DIV/0!</v>
      </c>
      <c r="Q16" s="6"/>
      <c r="R16" s="6"/>
      <c r="S16" s="6"/>
      <c r="T16" s="6"/>
      <c r="U16" s="6"/>
    </row>
    <row r="17" spans="1:21" ht="18.95" customHeight="1">
      <c r="A17" s="85" t="s">
        <v>41</v>
      </c>
      <c r="B17" s="78"/>
      <c r="C17" s="7"/>
      <c r="D17" s="7"/>
      <c r="E17" s="7"/>
      <c r="F17" s="7"/>
      <c r="G17" s="7"/>
      <c r="H17" s="7"/>
      <c r="I17" s="8"/>
      <c r="J17" s="7"/>
      <c r="K17" s="7"/>
      <c r="L17" s="7"/>
      <c r="M17" s="7"/>
      <c r="N17" s="7"/>
      <c r="O17" s="5">
        <f t="shared" si="2"/>
        <v>0</v>
      </c>
      <c r="P17" s="9" t="e">
        <f>O17/$O$43*100</f>
        <v>#DIV/0!</v>
      </c>
      <c r="Q17" s="6"/>
      <c r="R17" s="6"/>
      <c r="S17" s="6"/>
      <c r="T17" s="6"/>
      <c r="U17" s="6"/>
    </row>
    <row r="18" spans="1:21" ht="18.95" customHeight="1">
      <c r="A18" s="85" t="s">
        <v>89</v>
      </c>
      <c r="B18" s="78"/>
      <c r="C18" s="7"/>
      <c r="D18" s="7"/>
      <c r="E18" s="7"/>
      <c r="F18" s="7"/>
      <c r="G18" s="7"/>
      <c r="H18" s="7"/>
      <c r="I18" s="8"/>
      <c r="J18" s="7"/>
      <c r="K18" s="7"/>
      <c r="L18" s="7"/>
      <c r="M18" s="7"/>
      <c r="N18" s="7"/>
      <c r="O18" s="5">
        <f t="shared" si="2"/>
        <v>0</v>
      </c>
      <c r="P18" s="10" t="e">
        <f>O18/$O$46*100</f>
        <v>#DIV/0!</v>
      </c>
      <c r="Q18" s="6"/>
      <c r="R18" s="6"/>
      <c r="S18" s="6"/>
      <c r="T18" s="6"/>
      <c r="U18" s="6"/>
    </row>
    <row r="19" spans="1:21" ht="18.95" customHeight="1">
      <c r="A19" s="85" t="s">
        <v>90</v>
      </c>
      <c r="B19" s="7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5">
        <f t="shared" si="2"/>
        <v>0</v>
      </c>
      <c r="P19" s="10" t="e">
        <f>O19/$O$46*100</f>
        <v>#DIV/0!</v>
      </c>
      <c r="Q19" s="6"/>
      <c r="R19" s="6"/>
      <c r="S19" s="6"/>
      <c r="T19" s="6"/>
      <c r="U19" s="6"/>
    </row>
    <row r="20" spans="1:21" ht="18.95" customHeight="1">
      <c r="A20" s="85" t="s">
        <v>91</v>
      </c>
      <c r="B20" s="7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5">
        <f t="shared" si="2"/>
        <v>0</v>
      </c>
      <c r="P20" s="10" t="e">
        <f>O20/$O$47*100</f>
        <v>#DIV/0!</v>
      </c>
      <c r="Q20" s="6"/>
      <c r="R20" s="6"/>
      <c r="S20" s="6"/>
      <c r="T20" s="6"/>
      <c r="U20" s="6"/>
    </row>
    <row r="21" spans="1:21" ht="18.95" customHeight="1">
      <c r="A21" s="77" t="s">
        <v>25</v>
      </c>
      <c r="B21" s="7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5">
        <f t="shared" si="2"/>
        <v>0</v>
      </c>
      <c r="P21" s="9" t="e">
        <f>O21/$O$43*100</f>
        <v>#DIV/0!</v>
      </c>
      <c r="Q21" s="6"/>
      <c r="R21" s="6"/>
      <c r="S21" s="6"/>
      <c r="T21" s="6"/>
      <c r="U21" s="6"/>
    </row>
    <row r="22" spans="1:21" ht="18.95" customHeight="1">
      <c r="A22" s="77"/>
      <c r="B22" s="7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5">
        <f>SUM(C22:N22)</f>
        <v>0</v>
      </c>
      <c r="P22" s="9" t="e">
        <f>O22/$O$43*100</f>
        <v>#DIV/0!</v>
      </c>
      <c r="Q22" s="6"/>
      <c r="R22" s="6"/>
      <c r="S22" s="6"/>
      <c r="T22" s="6"/>
      <c r="U22" s="6"/>
    </row>
    <row r="23" spans="1:21" ht="18.95" customHeight="1">
      <c r="A23" s="77"/>
      <c r="B23" s="78"/>
      <c r="C23" s="7"/>
      <c r="D23" s="7"/>
      <c r="E23" s="7"/>
      <c r="F23" s="7"/>
      <c r="G23" s="7"/>
      <c r="H23" s="7"/>
      <c r="I23" s="8"/>
      <c r="J23" s="7"/>
      <c r="K23" s="7"/>
      <c r="L23" s="7"/>
      <c r="M23" s="7"/>
      <c r="N23" s="7"/>
      <c r="O23" s="5">
        <f>SUM(C23:N23)</f>
        <v>0</v>
      </c>
      <c r="P23" s="9" t="e">
        <f>O23/$O$43*100</f>
        <v>#DIV/0!</v>
      </c>
      <c r="Q23" s="6"/>
      <c r="R23" s="6"/>
      <c r="S23" s="6"/>
      <c r="T23" s="6"/>
      <c r="U23" s="6"/>
    </row>
    <row r="24" spans="1:21" s="6" customFormat="1" ht="18.95" customHeight="1">
      <c r="A24" s="79" t="s">
        <v>26</v>
      </c>
      <c r="B24" s="79"/>
      <c r="C24" s="13">
        <f t="shared" ref="C24:O24" si="3">SUM(C7:C23)</f>
        <v>0</v>
      </c>
      <c r="D24" s="13">
        <f t="shared" si="3"/>
        <v>0</v>
      </c>
      <c r="E24" s="13">
        <f t="shared" si="3"/>
        <v>0</v>
      </c>
      <c r="F24" s="13">
        <f t="shared" si="3"/>
        <v>0</v>
      </c>
      <c r="G24" s="13">
        <f t="shared" si="3"/>
        <v>0</v>
      </c>
      <c r="H24" s="13">
        <f t="shared" si="3"/>
        <v>0</v>
      </c>
      <c r="I24" s="13">
        <f t="shared" si="3"/>
        <v>0</v>
      </c>
      <c r="J24" s="13">
        <f t="shared" si="3"/>
        <v>0</v>
      </c>
      <c r="K24" s="13">
        <f t="shared" si="3"/>
        <v>0</v>
      </c>
      <c r="L24" s="13">
        <f t="shared" si="3"/>
        <v>0</v>
      </c>
      <c r="M24" s="13">
        <f t="shared" si="3"/>
        <v>0</v>
      </c>
      <c r="N24" s="13">
        <f t="shared" si="3"/>
        <v>0</v>
      </c>
      <c r="O24" s="13">
        <f t="shared" si="3"/>
        <v>0</v>
      </c>
      <c r="P24" s="17"/>
    </row>
    <row r="25" spans="1:21" s="6" customFormat="1" ht="18.95" customHeight="1">
      <c r="A25" s="80" t="s">
        <v>27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2"/>
    </row>
    <row r="26" spans="1:21" ht="18.95" customHeight="1">
      <c r="A26" s="77" t="s">
        <v>28</v>
      </c>
      <c r="B26" s="78"/>
      <c r="C26" s="7"/>
      <c r="D26" s="7"/>
      <c r="E26" s="7"/>
      <c r="F26" s="7"/>
      <c r="G26" s="7"/>
      <c r="H26" s="7"/>
      <c r="I26" s="8"/>
      <c r="J26" s="7"/>
      <c r="K26" s="7"/>
      <c r="L26" s="7"/>
      <c r="M26" s="7"/>
      <c r="N26" s="7"/>
      <c r="O26" s="5">
        <f>SUM(C26:N26)</f>
        <v>0</v>
      </c>
      <c r="P26" s="9" t="e">
        <f>O26/$O$43*100</f>
        <v>#DIV/0!</v>
      </c>
      <c r="Q26" s="6"/>
      <c r="R26" s="6"/>
      <c r="S26" s="6"/>
      <c r="T26" s="6"/>
      <c r="U26" s="6"/>
    </row>
    <row r="27" spans="1:21" ht="18.95" customHeight="1">
      <c r="A27" s="77" t="s">
        <v>29</v>
      </c>
      <c r="B27" s="78"/>
      <c r="C27" s="7"/>
      <c r="D27" s="7"/>
      <c r="E27" s="7"/>
      <c r="F27" s="7"/>
      <c r="G27" s="7"/>
      <c r="H27" s="7"/>
      <c r="I27" s="8"/>
      <c r="J27" s="7"/>
      <c r="K27" s="7"/>
      <c r="L27" s="7"/>
      <c r="M27" s="7"/>
      <c r="N27" s="7"/>
      <c r="O27" s="5">
        <f>SUM(C27:N27)</f>
        <v>0</v>
      </c>
      <c r="P27" s="9" t="e">
        <f t="shared" ref="P27:P34" si="4">O27/$O$43*100</f>
        <v>#DIV/0!</v>
      </c>
      <c r="Q27" s="6"/>
      <c r="R27" s="6"/>
      <c r="S27" s="6"/>
      <c r="T27" s="6"/>
      <c r="U27" s="6"/>
    </row>
    <row r="28" spans="1:21" ht="18.95" customHeight="1">
      <c r="A28" s="77" t="s">
        <v>30</v>
      </c>
      <c r="B28" s="7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5">
        <f t="shared" si="2"/>
        <v>0</v>
      </c>
      <c r="P28" s="9" t="e">
        <f t="shared" si="4"/>
        <v>#DIV/0!</v>
      </c>
      <c r="Q28" s="6"/>
      <c r="R28" s="6"/>
      <c r="S28" s="6"/>
      <c r="T28" s="6"/>
      <c r="U28" s="6"/>
    </row>
    <row r="29" spans="1:21" ht="18.95" customHeight="1">
      <c r="A29" s="77" t="s">
        <v>31</v>
      </c>
      <c r="B29" s="7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5">
        <f t="shared" si="2"/>
        <v>0</v>
      </c>
      <c r="P29" s="9" t="e">
        <f t="shared" si="4"/>
        <v>#DIV/0!</v>
      </c>
      <c r="Q29" s="6"/>
      <c r="R29" s="6"/>
      <c r="S29" s="6"/>
      <c r="T29" s="6"/>
      <c r="U29" s="6"/>
    </row>
    <row r="30" spans="1:21" ht="18.95" customHeight="1">
      <c r="A30" s="77" t="s">
        <v>32</v>
      </c>
      <c r="B30" s="7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5">
        <f t="shared" si="2"/>
        <v>0</v>
      </c>
      <c r="P30" s="9" t="e">
        <f t="shared" si="4"/>
        <v>#DIV/0!</v>
      </c>
      <c r="Q30" s="6"/>
      <c r="R30" s="6"/>
      <c r="S30" s="6"/>
      <c r="T30" s="6"/>
      <c r="U30" s="6"/>
    </row>
    <row r="31" spans="1:21" ht="18.95" customHeight="1">
      <c r="A31" s="77" t="s">
        <v>33</v>
      </c>
      <c r="B31" s="7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5">
        <f>SUM(C31:N31)</f>
        <v>0</v>
      </c>
      <c r="P31" s="9" t="e">
        <f t="shared" si="4"/>
        <v>#DIV/0!</v>
      </c>
      <c r="Q31" s="6"/>
      <c r="R31" s="6"/>
      <c r="S31" s="6"/>
      <c r="T31" s="6"/>
      <c r="U31" s="6"/>
    </row>
    <row r="32" spans="1:21" ht="18.95" customHeight="1">
      <c r="A32" s="77"/>
      <c r="B32" s="7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5">
        <f>SUM(C32:N32)</f>
        <v>0</v>
      </c>
      <c r="P32" s="9" t="e">
        <f t="shared" si="4"/>
        <v>#DIV/0!</v>
      </c>
      <c r="Q32" s="6"/>
      <c r="R32" s="6"/>
      <c r="S32" s="6"/>
      <c r="T32" s="6"/>
      <c r="U32" s="6"/>
    </row>
    <row r="33" spans="1:21" ht="18.95" customHeight="1">
      <c r="A33" s="77"/>
      <c r="B33" s="7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5">
        <f t="shared" si="2"/>
        <v>0</v>
      </c>
      <c r="P33" s="9" t="e">
        <f t="shared" si="4"/>
        <v>#DIV/0!</v>
      </c>
      <c r="Q33" s="6"/>
      <c r="R33" s="6"/>
      <c r="S33" s="6"/>
      <c r="T33" s="6"/>
      <c r="U33" s="6"/>
    </row>
    <row r="34" spans="1:21" ht="18.95" customHeight="1">
      <c r="A34" s="76" t="s">
        <v>34</v>
      </c>
      <c r="B34" s="76"/>
      <c r="C34" s="19">
        <f t="shared" ref="C34:O34" si="5">SUM(C26:C33)</f>
        <v>0</v>
      </c>
      <c r="D34" s="19">
        <f t="shared" si="5"/>
        <v>0</v>
      </c>
      <c r="E34" s="19">
        <f t="shared" si="5"/>
        <v>0</v>
      </c>
      <c r="F34" s="19">
        <f t="shared" si="5"/>
        <v>0</v>
      </c>
      <c r="G34" s="19">
        <f t="shared" si="5"/>
        <v>0</v>
      </c>
      <c r="H34" s="19">
        <f t="shared" si="5"/>
        <v>0</v>
      </c>
      <c r="I34" s="19">
        <f t="shared" si="5"/>
        <v>0</v>
      </c>
      <c r="J34" s="19">
        <f t="shared" si="5"/>
        <v>0</v>
      </c>
      <c r="K34" s="19">
        <f t="shared" si="5"/>
        <v>0</v>
      </c>
      <c r="L34" s="19">
        <f t="shared" si="5"/>
        <v>0</v>
      </c>
      <c r="M34" s="19">
        <f t="shared" si="5"/>
        <v>0</v>
      </c>
      <c r="N34" s="19">
        <f t="shared" si="5"/>
        <v>0</v>
      </c>
      <c r="O34" s="19">
        <f t="shared" si="5"/>
        <v>0</v>
      </c>
      <c r="P34" s="18" t="e">
        <f t="shared" si="4"/>
        <v>#DIV/0!</v>
      </c>
      <c r="Q34" s="6"/>
      <c r="R34" s="6"/>
      <c r="S34" s="6"/>
      <c r="T34" s="6"/>
      <c r="U34" s="6"/>
    </row>
    <row r="35" spans="1:21" s="15" customFormat="1" ht="18.95" customHeight="1">
      <c r="A35" s="83" t="s">
        <v>18</v>
      </c>
      <c r="B35" s="84"/>
      <c r="C35" s="23">
        <f t="shared" ref="C35:O35" si="6">SUM(C34,C24)</f>
        <v>0</v>
      </c>
      <c r="D35" s="23">
        <f t="shared" si="6"/>
        <v>0</v>
      </c>
      <c r="E35" s="23">
        <f t="shared" si="6"/>
        <v>0</v>
      </c>
      <c r="F35" s="23">
        <f t="shared" si="6"/>
        <v>0</v>
      </c>
      <c r="G35" s="23">
        <f t="shared" si="6"/>
        <v>0</v>
      </c>
      <c r="H35" s="23">
        <f t="shared" si="6"/>
        <v>0</v>
      </c>
      <c r="I35" s="23">
        <f t="shared" si="6"/>
        <v>0</v>
      </c>
      <c r="J35" s="23">
        <f t="shared" si="6"/>
        <v>0</v>
      </c>
      <c r="K35" s="23">
        <f t="shared" si="6"/>
        <v>0</v>
      </c>
      <c r="L35" s="23">
        <f t="shared" si="6"/>
        <v>0</v>
      </c>
      <c r="M35" s="23">
        <f t="shared" si="6"/>
        <v>0</v>
      </c>
      <c r="N35" s="23">
        <f t="shared" si="6"/>
        <v>0</v>
      </c>
      <c r="O35" s="23">
        <f t="shared" si="6"/>
        <v>0</v>
      </c>
      <c r="P35" s="24"/>
      <c r="Q35" s="11"/>
      <c r="R35" s="11"/>
      <c r="S35" s="11"/>
      <c r="T35" s="11"/>
      <c r="U35" s="11"/>
    </row>
    <row r="36" spans="1:21" s="15" customFormat="1" ht="18.95" customHeight="1">
      <c r="A36" s="28" t="s">
        <v>93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5"/>
      <c r="Q36" s="11"/>
      <c r="R36" s="11"/>
      <c r="S36" s="11"/>
      <c r="T36" s="11"/>
      <c r="U36" s="11"/>
    </row>
    <row r="37" spans="1:21" s="20" customFormat="1" ht="14.1" customHeight="1">
      <c r="A37" s="40" t="s">
        <v>50</v>
      </c>
      <c r="B37" s="41"/>
      <c r="C37" s="42"/>
      <c r="D37" s="46" t="s">
        <v>51</v>
      </c>
      <c r="E37" s="47"/>
      <c r="F37" s="46" t="s">
        <v>59</v>
      </c>
      <c r="G37" s="50"/>
      <c r="H37" s="50"/>
      <c r="I37" s="50"/>
      <c r="J37" s="50"/>
      <c r="K37" s="50"/>
      <c r="L37" s="47"/>
      <c r="M37" s="52" t="s">
        <v>52</v>
      </c>
      <c r="N37" s="53"/>
      <c r="O37" s="74" t="s">
        <v>0</v>
      </c>
      <c r="P37" s="75"/>
    </row>
    <row r="38" spans="1:21" s="20" customFormat="1" ht="14.1" customHeight="1">
      <c r="A38" s="43"/>
      <c r="B38" s="44"/>
      <c r="C38" s="45"/>
      <c r="D38" s="48"/>
      <c r="E38" s="49"/>
      <c r="F38" s="48"/>
      <c r="G38" s="51"/>
      <c r="H38" s="51"/>
      <c r="I38" s="51"/>
      <c r="J38" s="51"/>
      <c r="K38" s="51"/>
      <c r="L38" s="49"/>
      <c r="M38" s="68" t="s">
        <v>53</v>
      </c>
      <c r="N38" s="69"/>
      <c r="O38" s="72" t="s">
        <v>72</v>
      </c>
      <c r="P38" s="73"/>
    </row>
    <row r="39" spans="1:21" s="20" customFormat="1" ht="14.1" customHeight="1">
      <c r="A39" s="54" t="s">
        <v>54</v>
      </c>
      <c r="B39" s="55"/>
      <c r="C39" s="56"/>
      <c r="D39" s="60" t="s">
        <v>55</v>
      </c>
      <c r="E39" s="61"/>
      <c r="F39" s="62" t="s">
        <v>56</v>
      </c>
      <c r="G39" s="63"/>
      <c r="H39" s="63"/>
      <c r="I39" s="63"/>
      <c r="J39" s="63"/>
      <c r="K39" s="63"/>
      <c r="L39" s="64"/>
      <c r="M39" s="68" t="s">
        <v>57</v>
      </c>
      <c r="N39" s="69"/>
      <c r="O39" s="72" t="s">
        <v>71</v>
      </c>
      <c r="P39" s="73"/>
    </row>
    <row r="40" spans="1:21" s="20" customFormat="1" ht="14.1" customHeight="1">
      <c r="A40" s="57"/>
      <c r="B40" s="58"/>
      <c r="C40" s="59"/>
      <c r="D40" s="48"/>
      <c r="E40" s="49"/>
      <c r="F40" s="65"/>
      <c r="G40" s="66"/>
      <c r="H40" s="66"/>
      <c r="I40" s="66"/>
      <c r="J40" s="66"/>
      <c r="K40" s="66"/>
      <c r="L40" s="67"/>
      <c r="M40" s="68" t="s">
        <v>58</v>
      </c>
      <c r="N40" s="69"/>
      <c r="O40" s="32" t="s">
        <v>62</v>
      </c>
      <c r="P40" s="33"/>
    </row>
    <row r="41" spans="1:21" s="1" customFormat="1" ht="24.95" customHeight="1">
      <c r="A41" s="70" t="s">
        <v>42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</row>
    <row r="42" spans="1:21" ht="20.100000000000001" customHeight="1">
      <c r="A42" s="34" t="s">
        <v>7</v>
      </c>
      <c r="B42" s="35"/>
      <c r="C42" s="5" t="s">
        <v>3</v>
      </c>
      <c r="D42" s="5" t="s">
        <v>4</v>
      </c>
      <c r="E42" s="5" t="s">
        <v>8</v>
      </c>
      <c r="F42" s="5" t="s">
        <v>9</v>
      </c>
      <c r="G42" s="5" t="s">
        <v>10</v>
      </c>
      <c r="H42" s="5" t="s">
        <v>11</v>
      </c>
      <c r="I42" s="5" t="s">
        <v>12</v>
      </c>
      <c r="J42" s="5" t="s">
        <v>13</v>
      </c>
      <c r="K42" s="5" t="s">
        <v>14</v>
      </c>
      <c r="L42" s="5" t="s">
        <v>15</v>
      </c>
      <c r="M42" s="5" t="s">
        <v>16</v>
      </c>
      <c r="N42" s="5" t="s">
        <v>17</v>
      </c>
      <c r="O42" s="5" t="s">
        <v>18</v>
      </c>
      <c r="P42" s="6"/>
      <c r="Q42" s="6"/>
      <c r="R42" s="6"/>
      <c r="S42" s="6"/>
      <c r="T42" s="6"/>
      <c r="U42" s="6"/>
    </row>
    <row r="43" spans="1:21" ht="20.100000000000001" customHeight="1">
      <c r="A43" s="34" t="s">
        <v>19</v>
      </c>
      <c r="B43" s="3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f>SUM(C43:N43)</f>
        <v>0</v>
      </c>
      <c r="P43" s="6"/>
      <c r="Q43" s="6"/>
      <c r="R43" s="6"/>
      <c r="S43" s="6"/>
      <c r="T43" s="6"/>
      <c r="U43" s="6"/>
    </row>
    <row r="44" spans="1:21" ht="32.25" customHeight="1">
      <c r="A44" s="71" t="s">
        <v>67</v>
      </c>
      <c r="B44" s="3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f>SUM(C44:N44)</f>
        <v>0</v>
      </c>
      <c r="P44" s="6"/>
      <c r="Q44" s="6"/>
      <c r="R44" s="6"/>
      <c r="S44" s="6"/>
      <c r="T44" s="6"/>
      <c r="U44" s="6"/>
    </row>
    <row r="45" spans="1:21" ht="20.100000000000001" customHeight="1">
      <c r="A45" s="34" t="s">
        <v>20</v>
      </c>
      <c r="B45" s="3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f>SUM(C45:N45)</f>
        <v>0</v>
      </c>
      <c r="P45" s="6"/>
      <c r="Q45" s="6"/>
      <c r="R45" s="6"/>
      <c r="S45" s="6"/>
      <c r="T45" s="6"/>
      <c r="U45" s="6"/>
    </row>
    <row r="46" spans="1:21" ht="20.100000000000001" customHeight="1">
      <c r="A46" s="34" t="s">
        <v>21</v>
      </c>
      <c r="B46" s="3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f>SUM(C46:N46)</f>
        <v>0</v>
      </c>
      <c r="P46" s="6"/>
      <c r="Q46" s="6"/>
      <c r="R46" s="6"/>
      <c r="S46" s="6"/>
      <c r="T46" s="6"/>
      <c r="U46" s="6"/>
    </row>
    <row r="47" spans="1:21" ht="20.100000000000001" customHeight="1">
      <c r="A47" s="34" t="s">
        <v>22</v>
      </c>
      <c r="B47" s="3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f>SUM(C47:N47)</f>
        <v>0</v>
      </c>
      <c r="P47" s="6"/>
      <c r="Q47" s="6"/>
      <c r="R47" s="6"/>
      <c r="S47" s="6"/>
      <c r="T47" s="6"/>
      <c r="U47" s="6"/>
    </row>
    <row r="48" spans="1:2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6"/>
      <c r="P48" s="6"/>
      <c r="Q48" s="6"/>
      <c r="R48" s="6"/>
      <c r="S48" s="6"/>
      <c r="T48" s="6"/>
      <c r="U48" s="6"/>
    </row>
    <row r="49" spans="1:21">
      <c r="A49" s="36" t="s">
        <v>49</v>
      </c>
      <c r="B49" s="37"/>
      <c r="C49" s="37"/>
      <c r="D49" s="37"/>
      <c r="E49" s="37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6"/>
      <c r="R49" s="6"/>
      <c r="S49" s="6"/>
      <c r="T49" s="6"/>
      <c r="U49" s="6"/>
    </row>
    <row r="50" spans="1:21" s="12" customFormat="1" ht="24.95" customHeight="1">
      <c r="A50" s="29" t="s">
        <v>23</v>
      </c>
      <c r="B50" s="29"/>
      <c r="C50" s="2" t="s">
        <v>24</v>
      </c>
      <c r="D50" s="39" t="s">
        <v>48</v>
      </c>
      <c r="E50" s="29"/>
    </row>
    <row r="51" spans="1:21" s="12" customFormat="1" ht="24.95" customHeight="1">
      <c r="A51" s="29" t="s">
        <v>1</v>
      </c>
      <c r="B51" s="29"/>
      <c r="C51" s="3"/>
      <c r="D51" s="30" t="e">
        <f>C51/$C$63*100</f>
        <v>#DIV/0!</v>
      </c>
      <c r="E51" s="29"/>
    </row>
    <row r="52" spans="1:21" s="12" customFormat="1" ht="24.95" customHeight="1">
      <c r="A52" s="31" t="s">
        <v>94</v>
      </c>
      <c r="B52" s="29"/>
      <c r="C52" s="3"/>
      <c r="D52" s="30" t="e">
        <f t="shared" ref="D52:D62" si="7">C52/$C$63*100</f>
        <v>#DIV/0!</v>
      </c>
      <c r="E52" s="29"/>
    </row>
    <row r="53" spans="1:21" s="12" customFormat="1" ht="24.95" customHeight="1">
      <c r="A53" s="29" t="s">
        <v>2</v>
      </c>
      <c r="B53" s="29"/>
      <c r="C53" s="3"/>
      <c r="D53" s="30" t="e">
        <f t="shared" si="7"/>
        <v>#DIV/0!</v>
      </c>
      <c r="E53" s="29"/>
    </row>
    <row r="54" spans="1:21" s="12" customFormat="1" ht="24.95" customHeight="1">
      <c r="A54" s="31" t="s">
        <v>61</v>
      </c>
      <c r="B54" s="29"/>
      <c r="C54" s="3"/>
      <c r="D54" s="30" t="e">
        <f t="shared" si="7"/>
        <v>#DIV/0!</v>
      </c>
      <c r="E54" s="29"/>
    </row>
    <row r="55" spans="1:21" s="12" customFormat="1" ht="24.95" customHeight="1">
      <c r="A55" s="29" t="s">
        <v>68</v>
      </c>
      <c r="B55" s="29"/>
      <c r="C55" s="3"/>
      <c r="D55" s="30" t="e">
        <f t="shared" si="7"/>
        <v>#DIV/0!</v>
      </c>
      <c r="E55" s="29"/>
    </row>
    <row r="56" spans="1:21" s="12" customFormat="1" ht="24.95" customHeight="1">
      <c r="A56" s="29" t="s">
        <v>69</v>
      </c>
      <c r="B56" s="29"/>
      <c r="C56" s="3"/>
      <c r="D56" s="30" t="e">
        <f t="shared" si="7"/>
        <v>#DIV/0!</v>
      </c>
      <c r="E56" s="29"/>
    </row>
    <row r="57" spans="1:21" s="12" customFormat="1" ht="24.95" customHeight="1">
      <c r="A57" s="29" t="s">
        <v>38</v>
      </c>
      <c r="B57" s="29"/>
      <c r="C57" s="3"/>
      <c r="D57" s="30" t="e">
        <f t="shared" si="7"/>
        <v>#DIV/0!</v>
      </c>
      <c r="E57" s="29"/>
    </row>
    <row r="58" spans="1:21" s="12" customFormat="1" ht="24.95" customHeight="1">
      <c r="A58" s="29" t="s">
        <v>46</v>
      </c>
      <c r="B58" s="29"/>
      <c r="C58" s="4"/>
      <c r="D58" s="30" t="e">
        <f t="shared" si="7"/>
        <v>#DIV/0!</v>
      </c>
      <c r="E58" s="29"/>
    </row>
    <row r="59" spans="1:21" s="12" customFormat="1" ht="24.95" customHeight="1">
      <c r="A59" s="29" t="s">
        <v>43</v>
      </c>
      <c r="B59" s="29"/>
      <c r="C59" s="3"/>
      <c r="D59" s="30" t="e">
        <f t="shared" si="7"/>
        <v>#DIV/0!</v>
      </c>
      <c r="E59" s="29"/>
    </row>
    <row r="60" spans="1:21" s="12" customFormat="1" ht="24.95" customHeight="1">
      <c r="A60" s="29" t="s">
        <v>47</v>
      </c>
      <c r="B60" s="29"/>
      <c r="C60" s="4"/>
      <c r="D60" s="30" t="e">
        <f t="shared" si="7"/>
        <v>#DIV/0!</v>
      </c>
      <c r="E60" s="29"/>
    </row>
    <row r="61" spans="1:21" s="12" customFormat="1" ht="24.95" customHeight="1">
      <c r="A61" s="29" t="s">
        <v>44</v>
      </c>
      <c r="B61" s="29"/>
      <c r="C61" s="3"/>
      <c r="D61" s="30" t="e">
        <f t="shared" si="7"/>
        <v>#DIV/0!</v>
      </c>
      <c r="E61" s="29"/>
    </row>
    <row r="62" spans="1:21" s="12" customFormat="1" ht="24.95" customHeight="1">
      <c r="A62" s="29" t="s">
        <v>45</v>
      </c>
      <c r="B62" s="29"/>
      <c r="C62" s="3"/>
      <c r="D62" s="30" t="e">
        <f t="shared" si="7"/>
        <v>#DIV/0!</v>
      </c>
      <c r="E62" s="29"/>
    </row>
    <row r="63" spans="1:21" s="12" customFormat="1" ht="24.95" customHeight="1">
      <c r="A63" s="29" t="s">
        <v>18</v>
      </c>
      <c r="B63" s="29"/>
      <c r="C63" s="2">
        <f>SUM(C51:C62)</f>
        <v>0</v>
      </c>
      <c r="D63" s="30" t="e">
        <f>SUM(D51:D62)</f>
        <v>#DIV/0!</v>
      </c>
      <c r="E63" s="29"/>
    </row>
    <row r="64" spans="1:21" s="16" customFormat="1" ht="21.75" customHeight="1">
      <c r="C64" s="14"/>
    </row>
    <row r="65" spans="1:14" s="16" customFormat="1" ht="21.75" customHeight="1">
      <c r="B65" s="16" t="s">
        <v>35</v>
      </c>
      <c r="H65" s="16" t="s">
        <v>36</v>
      </c>
      <c r="J65" s="14"/>
      <c r="N65" s="16" t="s">
        <v>37</v>
      </c>
    </row>
    <row r="66" spans="1:14" s="16" customFormat="1" ht="21.75" customHeight="1">
      <c r="A66" s="14"/>
      <c r="B66" s="14"/>
      <c r="C66" s="14"/>
      <c r="D66" s="14"/>
      <c r="E66" s="14"/>
    </row>
    <row r="67" spans="1:14" s="16" customFormat="1" ht="18" customHeight="1">
      <c r="A67" s="14"/>
      <c r="B67" s="14"/>
      <c r="C67" s="14"/>
      <c r="D67" s="14"/>
      <c r="E67" s="14"/>
    </row>
  </sheetData>
  <mergeCells count="95">
    <mergeCell ref="M3:N3"/>
    <mergeCell ref="O3:P3"/>
    <mergeCell ref="M4:N4"/>
    <mergeCell ref="O4:P4"/>
    <mergeCell ref="A3:C4"/>
    <mergeCell ref="D3:E4"/>
    <mergeCell ref="F3:L4"/>
    <mergeCell ref="M1:N1"/>
    <mergeCell ref="O1:P1"/>
    <mergeCell ref="M2:N2"/>
    <mergeCell ref="O2:P2"/>
    <mergeCell ref="A1:C2"/>
    <mergeCell ref="D1:E2"/>
    <mergeCell ref="F1:L2"/>
    <mergeCell ref="A63:B63"/>
    <mergeCell ref="D63:E63"/>
    <mergeCell ref="A60:B60"/>
    <mergeCell ref="D60:E60"/>
    <mergeCell ref="A61:B61"/>
    <mergeCell ref="D61:E61"/>
    <mergeCell ref="A62:B62"/>
    <mergeCell ref="D62:E62"/>
    <mergeCell ref="A57:B57"/>
    <mergeCell ref="D57:E57"/>
    <mergeCell ref="A58:B58"/>
    <mergeCell ref="D58:E58"/>
    <mergeCell ref="A59:B59"/>
    <mergeCell ref="D59:E59"/>
    <mergeCell ref="A54:B54"/>
    <mergeCell ref="D54:E54"/>
    <mergeCell ref="A55:B55"/>
    <mergeCell ref="D55:E55"/>
    <mergeCell ref="A56:B56"/>
    <mergeCell ref="D56:E56"/>
    <mergeCell ref="A51:B51"/>
    <mergeCell ref="D51:E51"/>
    <mergeCell ref="A52:B52"/>
    <mergeCell ref="D52:E52"/>
    <mergeCell ref="A53:B53"/>
    <mergeCell ref="D53:E53"/>
    <mergeCell ref="A46:B46"/>
    <mergeCell ref="A47:B47"/>
    <mergeCell ref="A49:P49"/>
    <mergeCell ref="A50:B50"/>
    <mergeCell ref="D50:E50"/>
    <mergeCell ref="A41:P41"/>
    <mergeCell ref="A42:B42"/>
    <mergeCell ref="A43:B43"/>
    <mergeCell ref="A44:B44"/>
    <mergeCell ref="A45:B45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P25"/>
    <mergeCell ref="A16:B16"/>
    <mergeCell ref="A17:B17"/>
    <mergeCell ref="A18:B18"/>
    <mergeCell ref="A19:B19"/>
    <mergeCell ref="A20:B20"/>
    <mergeCell ref="A10:B10"/>
    <mergeCell ref="A11:B11"/>
    <mergeCell ref="A13:B13"/>
    <mergeCell ref="A14:B14"/>
    <mergeCell ref="A15:B15"/>
    <mergeCell ref="A12:B12"/>
    <mergeCell ref="A5:P5"/>
    <mergeCell ref="A6:B6"/>
    <mergeCell ref="A7:B7"/>
    <mergeCell ref="A8:B8"/>
    <mergeCell ref="A9:B9"/>
    <mergeCell ref="A37:C38"/>
    <mergeCell ref="D37:E38"/>
    <mergeCell ref="F37:L38"/>
    <mergeCell ref="M37:N37"/>
    <mergeCell ref="O37:P37"/>
    <mergeCell ref="M38:N38"/>
    <mergeCell ref="O38:P38"/>
    <mergeCell ref="A39:C40"/>
    <mergeCell ref="D39:E40"/>
    <mergeCell ref="F39:L40"/>
    <mergeCell ref="M39:N39"/>
    <mergeCell ref="O39:P39"/>
    <mergeCell ref="M40:N40"/>
    <mergeCell ref="O40:P40"/>
  </mergeCells>
  <phoneticPr fontId="1" type="noConversion"/>
  <printOptions horizontalCentered="1"/>
  <pageMargins left="0.19685039370078741" right="0.19685039370078741" top="3.937007874015748E-2" bottom="0.27559055118110237" header="3.937007874015748E-2" footer="0.43307086614173229"/>
  <pageSetup paperSize="9" scale="88" orientation="landscape" r:id="rId1"/>
  <headerFooter alignWithMargins="0"/>
  <rowBreaks count="1" manualBreakCount="1">
    <brk id="3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範例說明版</vt:lpstr>
      <vt:lpstr>填寫版</vt:lpstr>
    </vt:vector>
  </TitlesOfParts>
  <Company>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</dc:creator>
  <cp:lastModifiedBy>user</cp:lastModifiedBy>
  <cp:lastPrinted>2024-01-05T03:06:33Z</cp:lastPrinted>
  <dcterms:created xsi:type="dcterms:W3CDTF">2003-12-24T04:16:19Z</dcterms:created>
  <dcterms:modified xsi:type="dcterms:W3CDTF">2024-11-14T08:33:43Z</dcterms:modified>
</cp:coreProperties>
</file>