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護理部業務資料\01.品管組\3.品管組-106年至113年\00.品管標準化文件及表單\標準化文件-表單\"/>
    </mc:Choice>
  </mc:AlternateContent>
  <xr:revisionPtr revIDLastSave="0" documentId="13_ncr:1_{FDBFD13F-35E0-4E73-9F59-38DA13537AB2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範例版-四年異常比較表" sheetId="1" r:id="rId1"/>
    <sheet name="填寫版-四年異常比較表" sheetId="2" r:id="rId2"/>
  </sheets>
  <definedNames>
    <definedName name="_xlnm.Print_Area" localSheetId="1">'填寫版-四年異常比較表'!$A$1:$Q$29</definedName>
    <definedName name="_xlnm.Print_Area" localSheetId="0">'範例版-四年異常比較表'!$A$1:$Q$29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1" l="1"/>
  <c r="M20" i="1"/>
  <c r="I20" i="1"/>
  <c r="E20" i="1"/>
  <c r="Q20" i="2"/>
  <c r="M20" i="2"/>
  <c r="E20" i="2"/>
  <c r="I20" i="2"/>
  <c r="O27" i="2" l="1"/>
  <c r="K27" i="2"/>
  <c r="L27" i="2" s="1"/>
  <c r="G27" i="2"/>
  <c r="H26" i="2" s="1"/>
  <c r="C27" i="2"/>
  <c r="D27" i="2" s="1"/>
  <c r="Q26" i="2"/>
  <c r="M26" i="2"/>
  <c r="I26" i="2"/>
  <c r="E26" i="2"/>
  <c r="D26" i="2"/>
  <c r="Q25" i="2"/>
  <c r="M25" i="2"/>
  <c r="L25" i="2"/>
  <c r="I25" i="2"/>
  <c r="H25" i="2"/>
  <c r="E25" i="2"/>
  <c r="D25" i="2"/>
  <c r="Q24" i="2"/>
  <c r="M24" i="2"/>
  <c r="L24" i="2"/>
  <c r="I24" i="2"/>
  <c r="E24" i="2"/>
  <c r="D24" i="2"/>
  <c r="Q23" i="2"/>
  <c r="M23" i="2"/>
  <c r="I23" i="2"/>
  <c r="E23" i="2"/>
  <c r="D23" i="2"/>
  <c r="Q22" i="2"/>
  <c r="M22" i="2"/>
  <c r="I22" i="2"/>
  <c r="E22" i="2"/>
  <c r="D22" i="2"/>
  <c r="Q21" i="2"/>
  <c r="M21" i="2"/>
  <c r="L21" i="2"/>
  <c r="I21" i="2"/>
  <c r="E21" i="2"/>
  <c r="D21" i="2"/>
  <c r="D20" i="2"/>
  <c r="Q19" i="2"/>
  <c r="M19" i="2"/>
  <c r="I19" i="2"/>
  <c r="E19" i="2"/>
  <c r="D19" i="2"/>
  <c r="Q18" i="2"/>
  <c r="M18" i="2"/>
  <c r="I18" i="2"/>
  <c r="H18" i="2"/>
  <c r="E18" i="2"/>
  <c r="D18" i="2"/>
  <c r="Q17" i="2"/>
  <c r="M17" i="2"/>
  <c r="L17" i="2"/>
  <c r="I17" i="2"/>
  <c r="E17" i="2"/>
  <c r="D17" i="2"/>
  <c r="Q16" i="2"/>
  <c r="M16" i="2"/>
  <c r="L16" i="2"/>
  <c r="I16" i="2"/>
  <c r="E16" i="2"/>
  <c r="D16" i="2"/>
  <c r="Q15" i="2"/>
  <c r="M15" i="2"/>
  <c r="I15" i="2"/>
  <c r="H15" i="2"/>
  <c r="E15" i="2"/>
  <c r="D15" i="2"/>
  <c r="Q14" i="2"/>
  <c r="M14" i="2"/>
  <c r="I14" i="2"/>
  <c r="E14" i="2"/>
  <c r="D14" i="2"/>
  <c r="Q13" i="2"/>
  <c r="M13" i="2"/>
  <c r="L13" i="2"/>
  <c r="I13" i="2"/>
  <c r="E13" i="2"/>
  <c r="D13" i="2"/>
  <c r="Q12" i="2"/>
  <c r="M12" i="2"/>
  <c r="L12" i="2"/>
  <c r="I12" i="2"/>
  <c r="H12" i="2"/>
  <c r="E12" i="2"/>
  <c r="D12" i="2"/>
  <c r="Q11" i="2"/>
  <c r="M11" i="2"/>
  <c r="I11" i="2"/>
  <c r="E11" i="2"/>
  <c r="D11" i="2"/>
  <c r="Q10" i="2"/>
  <c r="M10" i="2"/>
  <c r="I10" i="2"/>
  <c r="H10" i="2"/>
  <c r="E10" i="2"/>
  <c r="D10" i="2"/>
  <c r="Q9" i="2"/>
  <c r="M9" i="2"/>
  <c r="L9" i="2"/>
  <c r="I9" i="2"/>
  <c r="E9" i="2"/>
  <c r="D9" i="2"/>
  <c r="Q19" i="1"/>
  <c r="Q18" i="1"/>
  <c r="Q11" i="1"/>
  <c r="Q10" i="1"/>
  <c r="Q12" i="1"/>
  <c r="Q13" i="1"/>
  <c r="Q14" i="1"/>
  <c r="Q15" i="1"/>
  <c r="Q16" i="1"/>
  <c r="Q17" i="1"/>
  <c r="Q9" i="1"/>
  <c r="M21" i="1"/>
  <c r="M19" i="1"/>
  <c r="M18" i="1"/>
  <c r="M17" i="1"/>
  <c r="M10" i="1"/>
  <c r="M11" i="1"/>
  <c r="M12" i="1"/>
  <c r="M13" i="1"/>
  <c r="M14" i="1"/>
  <c r="M15" i="1"/>
  <c r="M16" i="1"/>
  <c r="M9" i="1"/>
  <c r="I19" i="1"/>
  <c r="I18" i="1"/>
  <c r="I17" i="1"/>
  <c r="I10" i="1"/>
  <c r="I11" i="1"/>
  <c r="I12" i="1"/>
  <c r="I13" i="1"/>
  <c r="I14" i="1"/>
  <c r="I15" i="1"/>
  <c r="I16" i="1"/>
  <c r="I9" i="1"/>
  <c r="E19" i="1"/>
  <c r="E18" i="1"/>
  <c r="E9" i="1"/>
  <c r="H17" i="2" l="1"/>
  <c r="H24" i="2"/>
  <c r="H11" i="2"/>
  <c r="H14" i="2"/>
  <c r="H16" i="2"/>
  <c r="H19" i="2"/>
  <c r="H21" i="2"/>
  <c r="H9" i="2"/>
  <c r="H22" i="2"/>
  <c r="H27" i="2"/>
  <c r="H13" i="2"/>
  <c r="H20" i="2"/>
  <c r="H23" i="2"/>
  <c r="L11" i="2"/>
  <c r="L15" i="2"/>
  <c r="L19" i="2"/>
  <c r="L23" i="2"/>
  <c r="L10" i="2"/>
  <c r="L14" i="2"/>
  <c r="L18" i="2"/>
  <c r="L20" i="2"/>
  <c r="L22" i="2"/>
  <c r="L26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Q21" i="1"/>
  <c r="Q22" i="1"/>
  <c r="Q23" i="1"/>
  <c r="Q24" i="1"/>
  <c r="Q25" i="1"/>
  <c r="Q26" i="1"/>
  <c r="M22" i="1"/>
  <c r="M23" i="1"/>
  <c r="M24" i="1"/>
  <c r="M25" i="1"/>
  <c r="M26" i="1"/>
  <c r="I21" i="1"/>
  <c r="I22" i="1"/>
  <c r="I23" i="1"/>
  <c r="I24" i="1"/>
  <c r="I25" i="1"/>
  <c r="I26" i="1"/>
  <c r="E21" i="1"/>
  <c r="E22" i="1"/>
  <c r="E23" i="1"/>
  <c r="E24" i="1"/>
  <c r="E25" i="1"/>
  <c r="E26" i="1"/>
  <c r="E14" i="1"/>
  <c r="E15" i="1"/>
  <c r="E16" i="1"/>
  <c r="E17" i="1"/>
  <c r="E13" i="1"/>
  <c r="E12" i="1"/>
  <c r="E11" i="1"/>
  <c r="E10" i="1"/>
  <c r="C27" i="1" l="1"/>
  <c r="O27" i="1"/>
  <c r="G27" i="1"/>
  <c r="K27" i="1"/>
  <c r="L9" i="1" s="1"/>
  <c r="H19" i="1" l="1"/>
  <c r="H9" i="1"/>
  <c r="P24" i="1"/>
  <c r="P27" i="1"/>
  <c r="P23" i="1"/>
  <c r="P26" i="1"/>
  <c r="P9" i="1"/>
  <c r="P25" i="1"/>
  <c r="D9" i="1"/>
  <c r="P11" i="1"/>
  <c r="P14" i="1"/>
  <c r="P19" i="1"/>
  <c r="P12" i="1"/>
  <c r="P15" i="1"/>
  <c r="P20" i="1"/>
  <c r="P18" i="1"/>
  <c r="P16" i="1"/>
  <c r="P21" i="1"/>
  <c r="P10" i="1"/>
  <c r="P13" i="1"/>
  <c r="P17" i="1"/>
  <c r="P22" i="1"/>
  <c r="L25" i="1"/>
  <c r="L21" i="1"/>
  <c r="L16" i="1"/>
  <c r="L18" i="1"/>
  <c r="L15" i="1"/>
  <c r="L27" i="1"/>
  <c r="L23" i="1"/>
  <c r="L19" i="1"/>
  <c r="L14" i="1"/>
  <c r="L11" i="1"/>
  <c r="L26" i="1"/>
  <c r="L22" i="1"/>
  <c r="L17" i="1"/>
  <c r="L13" i="1"/>
  <c r="L10" i="1"/>
  <c r="L24" i="1"/>
  <c r="L20" i="1"/>
  <c r="L12" i="1"/>
  <c r="H18" i="1"/>
  <c r="H16" i="1"/>
  <c r="H21" i="1"/>
  <c r="H25" i="1"/>
  <c r="H10" i="1"/>
  <c r="H17" i="1"/>
  <c r="H26" i="1"/>
  <c r="H11" i="1"/>
  <c r="H14" i="1"/>
  <c r="H23" i="1"/>
  <c r="H27" i="1"/>
  <c r="H12" i="1"/>
  <c r="H15" i="1"/>
  <c r="H20" i="1"/>
  <c r="H24" i="1"/>
  <c r="H13" i="1"/>
  <c r="H22" i="1"/>
  <c r="D10" i="1"/>
  <c r="D13" i="1"/>
  <c r="D17" i="1"/>
  <c r="D22" i="1"/>
  <c r="D26" i="1"/>
  <c r="D19" i="1"/>
  <c r="D27" i="1"/>
  <c r="D14" i="1"/>
  <c r="D12" i="1"/>
  <c r="D15" i="1"/>
  <c r="D20" i="1"/>
  <c r="D24" i="1"/>
  <c r="D18" i="1"/>
  <c r="D16" i="1"/>
  <c r="D21" i="1"/>
  <c r="D25" i="1"/>
  <c r="D11" i="1"/>
  <c r="D23" i="1"/>
</calcChain>
</file>

<file path=xl/sharedStrings.xml><?xml version="1.0" encoding="utf-8"?>
<sst xmlns="http://schemas.openxmlformats.org/spreadsheetml/2006/main" count="214" uniqueCount="60">
  <si>
    <r>
      <rPr>
        <sz val="11"/>
        <rFont val="標楷體"/>
        <family val="4"/>
        <charset val="136"/>
      </rPr>
      <t>標籤錯誤</t>
    </r>
  </si>
  <si>
    <r>
      <rPr>
        <sz val="11"/>
        <rFont val="標楷體"/>
        <family val="4"/>
        <charset val="136"/>
      </rPr>
      <t>未貼標籤</t>
    </r>
  </si>
  <si>
    <r>
      <rPr>
        <sz val="11"/>
        <rFont val="標楷體"/>
        <family val="4"/>
        <charset val="136"/>
      </rPr>
      <t>藥局給藥錯誤</t>
    </r>
  </si>
  <si>
    <r>
      <rPr>
        <sz val="12"/>
        <rFont val="標楷體"/>
        <family val="4"/>
        <charset val="136"/>
      </rPr>
      <t>合計</t>
    </r>
    <phoneticPr fontId="1" type="noConversion"/>
  </si>
  <si>
    <r>
      <rPr>
        <sz val="12"/>
        <rFont val="標楷體"/>
        <family val="4"/>
        <charset val="136"/>
      </rPr>
      <t>項目</t>
    </r>
    <phoneticPr fontId="1" type="noConversion"/>
  </si>
  <si>
    <r>
      <rPr>
        <sz val="11"/>
        <rFont val="標楷體"/>
        <family val="4"/>
        <charset val="136"/>
      </rPr>
      <t>護理人員給藥錯誤</t>
    </r>
    <phoneticPr fontId="1" type="noConversion"/>
  </si>
  <si>
    <r>
      <rPr>
        <sz val="11"/>
        <rFont val="標楷體"/>
        <family val="4"/>
        <charset val="136"/>
      </rPr>
      <t>品管督導：</t>
    </r>
    <phoneticPr fontId="1" type="noConversion"/>
  </si>
  <si>
    <r>
      <rPr>
        <sz val="12"/>
        <rFont val="標楷體"/>
        <family val="4"/>
        <charset val="136"/>
      </rPr>
      <t>單位督導：</t>
    </r>
    <phoneticPr fontId="1" type="noConversion"/>
  </si>
  <si>
    <r>
      <rPr>
        <sz val="12"/>
        <rFont val="標楷體"/>
        <family val="4"/>
        <charset val="136"/>
      </rPr>
      <t>護理長：</t>
    </r>
    <phoneticPr fontId="1" type="noConversion"/>
  </si>
  <si>
    <t>名稱</t>
  </si>
  <si>
    <t>編 號</t>
  </si>
  <si>
    <t>版 本</t>
  </si>
  <si>
    <t>Chung Shan Medical University Hospital</t>
    <phoneticPr fontId="1" type="noConversion"/>
  </si>
  <si>
    <t>制定單位</t>
    <phoneticPr fontId="1" type="noConversion"/>
  </si>
  <si>
    <t>護理部</t>
    <phoneticPr fontId="1" type="noConversion"/>
  </si>
  <si>
    <t>修正日期</t>
  </si>
  <si>
    <t>頁數/總頁數</t>
  </si>
  <si>
    <r>
      <rPr>
        <b/>
        <sz val="14"/>
        <rFont val="標楷體"/>
        <family val="4"/>
        <charset val="136"/>
      </rPr>
      <t>中山醫學大學附設醫院</t>
    </r>
    <phoneticPr fontId="1" type="noConversion"/>
  </si>
  <si>
    <t>1/1</t>
    <phoneticPr fontId="1" type="noConversion"/>
  </si>
  <si>
    <t>四年異常事件發生率比較表</t>
    <phoneticPr fontId="1" type="noConversion"/>
  </si>
  <si>
    <t>A31000-Q16-F-B34</t>
    <phoneticPr fontId="1" type="noConversion"/>
  </si>
  <si>
    <r>
      <rPr>
        <b/>
        <sz val="12"/>
        <color rgb="FFFF0000"/>
        <rFont val="Times New Roman"/>
        <family val="1"/>
      </rPr>
      <t>112</t>
    </r>
    <r>
      <rPr>
        <sz val="12"/>
        <rFont val="標楷體"/>
        <family val="4"/>
        <charset val="136"/>
      </rPr>
      <t>年度</t>
    </r>
    <phoneticPr fontId="1" type="noConversion"/>
  </si>
  <si>
    <r>
      <rPr>
        <b/>
        <sz val="12"/>
        <color rgb="FFFF0000"/>
        <rFont val="Times New Roman"/>
        <family val="1"/>
      </rPr>
      <t>111</t>
    </r>
    <r>
      <rPr>
        <sz val="12"/>
        <rFont val="標楷體"/>
        <family val="4"/>
        <charset val="136"/>
      </rPr>
      <t>年度</t>
    </r>
    <phoneticPr fontId="1" type="noConversion"/>
  </si>
  <si>
    <r>
      <rPr>
        <b/>
        <sz val="12"/>
        <color rgb="FFFF0000"/>
        <rFont val="Times New Roman"/>
        <family val="1"/>
      </rPr>
      <t>110</t>
    </r>
    <r>
      <rPr>
        <sz val="12"/>
        <rFont val="標楷體"/>
        <family val="4"/>
        <charset val="136"/>
      </rPr>
      <t>年度</t>
    </r>
    <phoneticPr fontId="1" type="noConversion"/>
  </si>
  <si>
    <t>總住院人日數</t>
  </si>
  <si>
    <t>總住院人日數</t>
    <phoneticPr fontId="1" type="noConversion"/>
  </si>
  <si>
    <r>
      <rPr>
        <sz val="12"/>
        <color theme="1"/>
        <rFont val="標楷體"/>
        <family val="4"/>
        <charset val="136"/>
      </rPr>
      <t>項目</t>
    </r>
    <phoneticPr fontId="1" type="noConversion"/>
  </si>
  <si>
    <r>
      <rPr>
        <sz val="12"/>
        <color theme="1"/>
        <rFont val="標楷體"/>
        <family val="4"/>
        <charset val="136"/>
      </rPr>
      <t>件數</t>
    </r>
  </si>
  <si>
    <r>
      <rPr>
        <sz val="12"/>
        <rFont val="標楷體"/>
        <family val="4"/>
        <charset val="136"/>
      </rPr>
      <t>件數</t>
    </r>
    <phoneticPr fontId="1" type="noConversion"/>
  </si>
  <si>
    <r>
      <rPr>
        <sz val="12"/>
        <color theme="1"/>
        <rFont val="標楷體"/>
        <family val="4"/>
        <charset val="136"/>
      </rPr>
      <t xml:space="preserve">佔比
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註</t>
    </r>
    <r>
      <rPr>
        <sz val="12"/>
        <color theme="1"/>
        <rFont val="Times New Roman"/>
        <family val="1"/>
      </rPr>
      <t>1)</t>
    </r>
    <phoneticPr fontId="1" type="noConversion"/>
  </si>
  <si>
    <r>
      <rPr>
        <sz val="12"/>
        <color theme="1"/>
        <rFont val="標楷體"/>
        <family val="4"/>
        <charset val="136"/>
      </rPr>
      <t xml:space="preserve">發生率
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註</t>
    </r>
    <r>
      <rPr>
        <sz val="12"/>
        <color theme="1"/>
        <rFont val="Times New Roman"/>
        <family val="1"/>
      </rPr>
      <t>2)</t>
    </r>
    <phoneticPr fontId="1" type="noConversion"/>
  </si>
  <si>
    <r>
      <rPr>
        <sz val="12"/>
        <color theme="1"/>
        <rFont val="標楷體"/>
        <family val="4"/>
        <charset val="136"/>
      </rPr>
      <t>件數</t>
    </r>
    <phoneticPr fontId="1" type="noConversion"/>
  </si>
  <si>
    <r>
      <rPr>
        <sz val="11"/>
        <rFont val="標楷體"/>
        <family val="4"/>
        <charset val="136"/>
      </rPr>
      <t>壓力性損傷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處數</t>
    </r>
    <r>
      <rPr>
        <sz val="11"/>
        <rFont val="Times New Roman"/>
        <family val="1"/>
      </rPr>
      <t>)</t>
    </r>
    <phoneticPr fontId="1" type="noConversion"/>
  </si>
  <si>
    <r>
      <rPr>
        <sz val="11"/>
        <rFont val="標楷體"/>
        <family val="4"/>
        <charset val="136"/>
      </rPr>
      <t>壓力性損傷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處數</t>
    </r>
    <r>
      <rPr>
        <sz val="11"/>
        <rFont val="Times New Roman"/>
        <family val="1"/>
      </rPr>
      <t>)</t>
    </r>
  </si>
  <si>
    <r>
      <rPr>
        <sz val="11"/>
        <rFont val="標楷體"/>
        <family val="4"/>
        <charset val="136"/>
      </rPr>
      <t>失禁性皮膚炎</t>
    </r>
    <phoneticPr fontId="1" type="noConversion"/>
  </si>
  <si>
    <r>
      <rPr>
        <sz val="11"/>
        <rFont val="標楷體"/>
        <family val="4"/>
        <charset val="136"/>
      </rPr>
      <t>失禁性皮膚炎</t>
    </r>
  </si>
  <si>
    <r>
      <t>NG</t>
    </r>
    <r>
      <rPr>
        <sz val="11"/>
        <rFont val="標楷體"/>
        <family val="4"/>
        <charset val="136"/>
      </rPr>
      <t>滑脫</t>
    </r>
    <r>
      <rPr>
        <sz val="11"/>
        <rFont val="Times New Roman"/>
        <family val="1"/>
      </rPr>
      <t>(</t>
    </r>
    <r>
      <rPr>
        <sz val="11"/>
        <rFont val="標楷體"/>
        <family val="4"/>
        <charset val="136"/>
      </rPr>
      <t>自拔</t>
    </r>
    <r>
      <rPr>
        <sz val="11"/>
        <rFont val="Times New Roman"/>
        <family val="1"/>
      </rPr>
      <t>)</t>
    </r>
    <phoneticPr fontId="1" type="noConversion"/>
  </si>
  <si>
    <r>
      <rPr>
        <sz val="11"/>
        <rFont val="標楷體"/>
        <family val="4"/>
        <charset val="136"/>
      </rPr>
      <t>其他管路自拔</t>
    </r>
    <r>
      <rPr>
        <sz val="11"/>
        <rFont val="Times New Roman"/>
        <family val="1"/>
      </rPr>
      <t>(</t>
    </r>
    <r>
      <rPr>
        <sz val="11"/>
        <color indexed="10"/>
        <rFont val="Times New Roman"/>
        <family val="1"/>
      </rPr>
      <t>CVP</t>
    </r>
    <r>
      <rPr>
        <sz val="11"/>
        <rFont val="Times New Roman"/>
        <family val="1"/>
      </rPr>
      <t>)</t>
    </r>
    <phoneticPr fontId="1" type="noConversion"/>
  </si>
  <si>
    <r>
      <rPr>
        <sz val="11"/>
        <color theme="1"/>
        <rFont val="標楷體"/>
        <family val="4"/>
        <charset val="136"/>
      </rPr>
      <t>針扎</t>
    </r>
    <r>
      <rPr>
        <sz val="11"/>
        <color theme="1"/>
        <rFont val="Times New Roman"/>
        <family val="1"/>
      </rPr>
      <t>(</t>
    </r>
    <r>
      <rPr>
        <sz val="11"/>
        <color theme="1"/>
        <rFont val="標楷體"/>
        <family val="4"/>
        <charset val="136"/>
      </rPr>
      <t>註</t>
    </r>
    <r>
      <rPr>
        <sz val="11"/>
        <color theme="1"/>
        <rFont val="Times New Roman"/>
        <family val="1"/>
      </rPr>
      <t>3)</t>
    </r>
    <phoneticPr fontId="1" type="noConversion"/>
  </si>
  <si>
    <r>
      <rPr>
        <sz val="11"/>
        <color theme="1"/>
        <rFont val="標楷體"/>
        <family val="4"/>
        <charset val="136"/>
      </rPr>
      <t>化療藥物潑灑</t>
    </r>
    <r>
      <rPr>
        <sz val="11"/>
        <color theme="1"/>
        <rFont val="Times New Roman"/>
        <family val="1"/>
      </rPr>
      <t>(</t>
    </r>
    <r>
      <rPr>
        <sz val="11"/>
        <color theme="1"/>
        <rFont val="標楷體"/>
        <family val="4"/>
        <charset val="136"/>
      </rPr>
      <t>註</t>
    </r>
    <r>
      <rPr>
        <sz val="11"/>
        <color theme="1"/>
        <rFont val="Times New Roman"/>
        <family val="1"/>
      </rPr>
      <t>4)</t>
    </r>
    <phoneticPr fontId="1" type="noConversion"/>
  </si>
  <si>
    <r>
      <rPr>
        <sz val="11"/>
        <rFont val="標楷體"/>
        <family val="4"/>
        <charset val="136"/>
      </rPr>
      <t>跌倒</t>
    </r>
  </si>
  <si>
    <r>
      <rPr>
        <sz val="10"/>
        <rFont val="標楷體"/>
        <family val="4"/>
        <charset val="136"/>
      </rPr>
      <t>第</t>
    </r>
    <r>
      <rPr>
        <sz val="10"/>
        <rFont val="Times New Roman"/>
        <family val="1"/>
      </rPr>
      <t xml:space="preserve"> 1.3</t>
    </r>
    <r>
      <rPr>
        <sz val="10"/>
        <rFont val="標楷體"/>
        <family val="4"/>
        <charset val="136"/>
      </rPr>
      <t>版</t>
    </r>
    <phoneticPr fontId="1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</si>
  <si>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01</t>
    </r>
    <r>
      <rPr>
        <sz val="10"/>
        <rFont val="標楷體"/>
        <family val="4"/>
        <charset val="136"/>
      </rPr>
      <t>月</t>
    </r>
    <r>
      <rPr>
        <sz val="10"/>
        <rFont val="Times New Roman"/>
        <family val="1"/>
      </rPr>
      <t>09</t>
    </r>
    <r>
      <rPr>
        <sz val="10"/>
        <rFont val="標楷體"/>
        <family val="4"/>
        <charset val="136"/>
      </rPr>
      <t>日</t>
    </r>
    <phoneticPr fontId="1" type="noConversion"/>
  </si>
  <si>
    <r>
      <rPr>
        <sz val="11"/>
        <rFont val="標楷體"/>
        <family val="4"/>
        <charset val="136"/>
      </rPr>
      <t>當年</t>
    </r>
    <r>
      <rPr>
        <sz val="11"/>
        <rFont val="Times New Roman"/>
        <family val="1"/>
      </rPr>
      <t>12</t>
    </r>
    <r>
      <rPr>
        <sz val="11"/>
        <rFont val="標楷體"/>
        <family val="4"/>
        <charset val="136"/>
      </rPr>
      <t>月護理人員數</t>
    </r>
    <phoneticPr fontId="1" type="noConversion"/>
  </si>
  <si>
    <t>化療人次(執行化療病房)</t>
    <phoneticPr fontId="1" type="noConversion"/>
  </si>
  <si>
    <t>化療人次(執行化療病房)</t>
    <phoneticPr fontId="1" type="noConversion"/>
  </si>
  <si>
    <t>化療人次(執行化療病房)</t>
    <phoneticPr fontId="1" type="noConversion"/>
  </si>
  <si>
    <t>化療人次(執行化療病房)</t>
    <phoneticPr fontId="1" type="noConversion"/>
  </si>
  <si>
    <t>化療人次(執行化療病房)</t>
    <phoneticPr fontId="1" type="noConversion"/>
  </si>
  <si>
    <r>
      <rPr>
        <sz val="11"/>
        <rFont val="標楷體"/>
        <family val="4"/>
        <charset val="136"/>
      </rPr>
      <t>當年</t>
    </r>
    <r>
      <rPr>
        <sz val="11"/>
        <rFont val="Times New Roman"/>
        <family val="1"/>
      </rPr>
      <t>12</t>
    </r>
    <r>
      <rPr>
        <sz val="11"/>
        <rFont val="標楷體"/>
        <family val="4"/>
        <charset val="136"/>
      </rPr>
      <t>月護理人員數</t>
    </r>
    <phoneticPr fontId="1" type="noConversion"/>
  </si>
  <si>
    <t>當年12月護理人員數</t>
    <phoneticPr fontId="1" type="noConversion"/>
  </si>
  <si>
    <t>輸血人次</t>
    <phoneticPr fontId="1" type="noConversion"/>
  </si>
  <si>
    <t>輸血人次</t>
    <phoneticPr fontId="1" type="noConversion"/>
  </si>
  <si>
    <t>輸血人次</t>
    <phoneticPr fontId="1" type="noConversion"/>
  </si>
  <si>
    <r>
      <t>輸血事件(註</t>
    </r>
    <r>
      <rPr>
        <sz val="11"/>
        <rFont val="Times New Roman"/>
        <family val="1"/>
      </rPr>
      <t>5</t>
    </r>
    <r>
      <rPr>
        <sz val="11"/>
        <rFont val="標楷體"/>
        <family val="4"/>
        <charset val="136"/>
      </rPr>
      <t>)</t>
    </r>
    <phoneticPr fontId="1" type="noConversion"/>
  </si>
  <si>
    <t>輸血事件(註5)</t>
  </si>
  <si>
    <r>
      <t>註：</t>
    </r>
    <r>
      <rPr>
        <b/>
        <sz val="12"/>
        <color theme="1"/>
        <rFont val="Times New Roman"/>
        <family val="1"/>
      </rPr>
      <t>1.</t>
    </r>
    <r>
      <rPr>
        <b/>
        <sz val="12"/>
        <color theme="1"/>
        <rFont val="標楷體"/>
        <family val="4"/>
        <charset val="136"/>
      </rPr>
      <t>分母為當年度發生總件數</t>
    </r>
    <r>
      <rPr>
        <b/>
        <sz val="12"/>
        <color theme="1"/>
        <rFont val="Times New Roman"/>
        <family val="1"/>
      </rPr>
      <t>2.</t>
    </r>
    <r>
      <rPr>
        <b/>
        <sz val="12"/>
        <color theme="1"/>
        <rFont val="標楷體"/>
        <family val="4"/>
        <charset val="136"/>
      </rPr>
      <t>分母為住院人日數</t>
    </r>
    <r>
      <rPr>
        <b/>
        <sz val="12"/>
        <color theme="1"/>
        <rFont val="Times New Roman"/>
        <family val="1"/>
      </rPr>
      <t xml:space="preserve">  3.</t>
    </r>
    <r>
      <rPr>
        <b/>
        <sz val="12"/>
        <color theme="1"/>
        <rFont val="標楷體"/>
        <family val="4"/>
        <charset val="136"/>
      </rPr>
      <t>分母為當年度</t>
    </r>
    <r>
      <rPr>
        <b/>
        <sz val="12"/>
        <color theme="1"/>
        <rFont val="Times New Roman"/>
        <family val="1"/>
      </rPr>
      <t>12</t>
    </r>
    <r>
      <rPr>
        <b/>
        <sz val="12"/>
        <color theme="1"/>
        <rFont val="標楷體"/>
        <family val="4"/>
        <charset val="136"/>
      </rPr>
      <t>月護理人員數</t>
    </r>
    <r>
      <rPr>
        <b/>
        <sz val="12"/>
        <color theme="1"/>
        <rFont val="Times New Roman"/>
        <family val="1"/>
      </rPr>
      <t xml:space="preserve"> 4.</t>
    </r>
    <r>
      <rPr>
        <b/>
        <sz val="12"/>
        <color theme="1"/>
        <rFont val="標楷體"/>
        <family val="4"/>
        <charset val="136"/>
      </rPr>
      <t>分母為化療人次</t>
    </r>
    <r>
      <rPr>
        <b/>
        <sz val="12"/>
        <color theme="1"/>
        <rFont val="Times New Roman"/>
        <family val="1"/>
      </rPr>
      <t xml:space="preserve"> 5.</t>
    </r>
    <r>
      <rPr>
        <b/>
        <sz val="12"/>
        <color theme="1"/>
        <rFont val="標楷體"/>
        <family val="4"/>
        <charset val="136"/>
      </rPr>
      <t>分母為輸血人次</t>
    </r>
    <phoneticPr fontId="1" type="noConversion"/>
  </si>
  <si>
    <r>
      <t>註：</t>
    </r>
    <r>
      <rPr>
        <b/>
        <sz val="12"/>
        <color theme="1"/>
        <rFont val="Times New Roman"/>
        <family val="1"/>
      </rPr>
      <t>1.</t>
    </r>
    <r>
      <rPr>
        <b/>
        <sz val="12"/>
        <color theme="1"/>
        <rFont val="標楷體"/>
        <family val="4"/>
        <charset val="136"/>
      </rPr>
      <t>分母為當年度發生總件數</t>
    </r>
    <r>
      <rPr>
        <b/>
        <sz val="12"/>
        <color theme="1"/>
        <rFont val="Times New Roman"/>
        <family val="1"/>
      </rPr>
      <t>2.</t>
    </r>
    <r>
      <rPr>
        <b/>
        <sz val="12"/>
        <color theme="1"/>
        <rFont val="標楷體"/>
        <family val="4"/>
        <charset val="136"/>
      </rPr>
      <t>分母為住院人日數</t>
    </r>
    <r>
      <rPr>
        <b/>
        <sz val="12"/>
        <color theme="1"/>
        <rFont val="Times New Roman"/>
        <family val="1"/>
      </rPr>
      <t xml:space="preserve">  3.</t>
    </r>
    <r>
      <rPr>
        <b/>
        <sz val="12"/>
        <color theme="1"/>
        <rFont val="標楷體"/>
        <family val="4"/>
        <charset val="136"/>
      </rPr>
      <t>分母為當年度</t>
    </r>
    <r>
      <rPr>
        <b/>
        <sz val="12"/>
        <color theme="1"/>
        <rFont val="Times New Roman"/>
        <family val="1"/>
      </rPr>
      <t>12</t>
    </r>
    <r>
      <rPr>
        <b/>
        <sz val="12"/>
        <color theme="1"/>
        <rFont val="標楷體"/>
        <family val="4"/>
        <charset val="136"/>
      </rPr>
      <t>月護理人員數</t>
    </r>
    <r>
      <rPr>
        <b/>
        <sz val="12"/>
        <color theme="1"/>
        <rFont val="Times New Roman"/>
        <family val="1"/>
      </rPr>
      <t xml:space="preserve"> 4.</t>
    </r>
    <r>
      <rPr>
        <b/>
        <sz val="12"/>
        <color theme="1"/>
        <rFont val="標楷體"/>
        <family val="4"/>
        <charset val="136"/>
      </rPr>
      <t>分母為化療人次</t>
    </r>
    <r>
      <rPr>
        <b/>
        <sz val="12"/>
        <color theme="1"/>
        <rFont val="Times New Roman"/>
        <family val="1"/>
      </rPr>
      <t xml:space="preserve">  5.</t>
    </r>
    <r>
      <rPr>
        <b/>
        <sz val="12"/>
        <color theme="1"/>
        <rFont val="標楷體"/>
        <family val="4"/>
        <charset val="136"/>
      </rPr>
      <t>分母為輸血人次</t>
    </r>
    <phoneticPr fontId="1" type="noConversion"/>
  </si>
  <si>
    <r>
      <rPr>
        <b/>
        <sz val="14"/>
        <color rgb="FFFF0000"/>
        <rFont val="Times New Roman"/>
        <family val="1"/>
      </rPr>
      <t>110-113</t>
    </r>
    <r>
      <rPr>
        <sz val="14"/>
        <rFont val="標楷體"/>
        <family val="4"/>
        <charset val="136"/>
      </rPr>
      <t>年異常事件發生率比較表</t>
    </r>
    <r>
      <rPr>
        <sz val="14"/>
        <rFont val="Times New Roman"/>
        <family val="1"/>
      </rPr>
      <t>-XX</t>
    </r>
    <r>
      <rPr>
        <sz val="14"/>
        <rFont val="標楷體"/>
        <family val="4"/>
        <charset val="136"/>
      </rPr>
      <t>單位</t>
    </r>
    <phoneticPr fontId="1" type="noConversion"/>
  </si>
  <si>
    <r>
      <rPr>
        <b/>
        <sz val="12"/>
        <color rgb="FFFF0000"/>
        <rFont val="Times New Roman"/>
        <family val="1"/>
      </rPr>
      <t>113</t>
    </r>
    <r>
      <rPr>
        <sz val="12"/>
        <rFont val="標楷體"/>
        <family val="4"/>
        <charset val="136"/>
      </rPr>
      <t>年度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</si>
</sst>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);[Red]\(0.000\)"/>
    <numFmt numFmtId="177" formatCode="0_ "/>
    <numFmt numFmtId="178" formatCode="0.00_);[Red]\(0.00\)"/>
    <numFmt numFmtId="179" formatCode="0_);[Red]\(0\)"/>
  </numFmts>
  <fonts count="2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2"/>
      <name val="Times New Roman"/>
      <family val="1"/>
    </font>
    <font>
      <sz val="11"/>
      <name val="Times New Roman"/>
      <family val="1"/>
    </font>
    <font>
      <sz val="11"/>
      <name val="標楷體"/>
      <family val="4"/>
      <charset val="136"/>
    </font>
    <font>
      <b/>
      <sz val="12"/>
      <color indexed="8"/>
      <name val="標楷體"/>
      <family val="4"/>
      <charset val="136"/>
    </font>
    <font>
      <sz val="10"/>
      <name val="Times New Roman"/>
      <family val="1"/>
    </font>
    <font>
      <sz val="11"/>
      <color indexed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11"/>
      <name val="標楷體"/>
      <family val="4"/>
      <charset val="136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標楷體"/>
      <family val="4"/>
      <charset val="136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標楷體"/>
      <family val="4"/>
      <charset val="136"/>
    </font>
    <font>
      <b/>
      <sz val="12"/>
      <color theme="1"/>
      <name val="Times New Roman"/>
      <family val="1"/>
    </font>
    <font>
      <b/>
      <sz val="12"/>
      <color theme="1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8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/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176" fontId="18" fillId="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79" fontId="6" fillId="0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9" fontId="19" fillId="0" borderId="1" xfId="0" applyNumberFormat="1" applyFont="1" applyFill="1" applyBorder="1" applyAlignment="1">
      <alignment horizontal="center" vertical="center"/>
    </xf>
    <xf numFmtId="178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178" fontId="19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2" fontId="19" fillId="6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9" fillId="0" borderId="2" xfId="0" applyFont="1" applyFill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12</xdr:row>
      <xdr:rowOff>340179</xdr:rowOff>
    </xdr:from>
    <xdr:to>
      <xdr:col>18</xdr:col>
      <xdr:colOff>68034</xdr:colOff>
      <xdr:row>23</xdr:row>
      <xdr:rowOff>149676</xdr:rowOff>
    </xdr:to>
    <xdr:sp macro="" textlink="">
      <xdr:nvSpPr>
        <xdr:cNvPr id="7" name="圓角矩形圖說文字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728106" y="3986893"/>
          <a:ext cx="12586607" cy="4000497"/>
        </a:xfrm>
        <a:prstGeom prst="wedgeRoundRectCallout">
          <a:avLst>
            <a:gd name="adj1" fmla="val -1806"/>
            <a:gd name="adj2" fmla="val 47113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填表注意事項：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請自行增減項目數列並依件數</a:t>
          </a:r>
          <a:r>
            <a:rPr lang="zh-TW" altLang="en-US" sz="1400" b="1" u="sng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由多至少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排序。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項目內容需同表單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B33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「年度異常事件統計表」裡之異常事件統計項目。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壓力性損傷請填寫新發生處數。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4.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請自行下方黃色欄位填入各年度之總住院人日數、當年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12/31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護理人員數、化療人次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(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有執行化療病房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)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、輸血人次，會自動計算占比及發生率。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5.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發生率欄位呈現紅色處，若移動排序時，務必檢視計算公式是否正確。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6.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完成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B33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表單統計排序後，可直接複製「項目」、「件數」，再使用「</a:t>
          </a:r>
          <a:r>
            <a:rPr lang="zh-TW" altLang="en-US" sz="1400" b="1" u="sng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貼上值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」的方式，則可避免儲存格欄有合併的限制。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7.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若有新增列數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,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請確認總計公式是否有全選到。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8.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表格完成後，請注意中文字體改為</a:t>
          </a:r>
          <a:r>
            <a:rPr lang="zh-TW" altLang="en-US" sz="1400" b="1" u="sng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標楷體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、英文字體使用</a:t>
          </a:r>
          <a:r>
            <a:rPr lang="en-US" altLang="zh-TW" sz="1400" b="1" u="sng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Times New</a:t>
          </a:r>
          <a:r>
            <a:rPr lang="en-US" altLang="zh-TW" sz="1400" b="1" u="sng" baseline="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 </a:t>
          </a:r>
          <a:r>
            <a:rPr lang="en-US" altLang="zh-TW" sz="1400" b="1" u="sng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Roman</a:t>
          </a:r>
        </a:p>
        <a:p>
          <a:pPr algn="l"/>
          <a:r>
            <a:rPr lang="en-US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9.</a:t>
          </a:r>
          <a:r>
            <a:rPr lang="zh-TW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若為四年度皆有之項目，請用</a:t>
          </a:r>
          <a:r>
            <a:rPr lang="zh-TW" altLang="zh-TW" sz="1400" b="1" u="sng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同顏色</a:t>
          </a:r>
          <a:r>
            <a:rPr lang="zh-TW" altLang="zh-TW" sz="1400" b="1" u="sng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標示</a:t>
          </a:r>
          <a:r>
            <a:rPr lang="zh-TW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，例如跌倒、壓</a:t>
          </a:r>
          <a:r>
            <a:rPr lang="zh-TW" altLang="en-US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力性損傷</a:t>
          </a:r>
          <a:r>
            <a:rPr lang="zh-TW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zh-TW" altLang="en-US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失禁性皮膚炎</a:t>
          </a:r>
          <a:r>
            <a:rPr lang="zh-TW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等</a:t>
          </a:r>
          <a:endParaRPr lang="zh-TW" altLang="zh-TW" sz="1400">
            <a:effectLst/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10.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完成後請刪除此項說明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163286</xdr:colOff>
      <xdr:row>9</xdr:row>
      <xdr:rowOff>299360</xdr:rowOff>
    </xdr:from>
    <xdr:to>
      <xdr:col>18</xdr:col>
      <xdr:colOff>625928</xdr:colOff>
      <xdr:row>20</xdr:row>
      <xdr:rowOff>108857</xdr:rowOff>
    </xdr:to>
    <xdr:sp macro="" textlink="">
      <xdr:nvSpPr>
        <xdr:cNvPr id="2" name="圓角矩形圖說文字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286000" y="2803074"/>
          <a:ext cx="12586607" cy="4000497"/>
        </a:xfrm>
        <a:prstGeom prst="wedgeRoundRectCallout">
          <a:avLst>
            <a:gd name="adj1" fmla="val -1806"/>
            <a:gd name="adj2" fmla="val 47113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填表注意事項：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請自行增減項目數列並依件數</a:t>
          </a:r>
          <a:r>
            <a:rPr lang="zh-TW" altLang="en-US" sz="1400" b="1" u="sng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由多至少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排序。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項目內容需同表單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B33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「年度異常事件統計表」裡之異常事件統計項目。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壓力性損傷請填寫新發生處數。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4.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請自行下方黃色欄位填入各年度之總住院人日數、當年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12/31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護理人員數、化療人次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(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有執行化療病房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)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、輸血人次，會自動計算占比及發生率。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5.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發生率欄位呈現紅色處，若移動排序時，務必檢視計算公式是否正確。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6.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完成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B33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表單統計排序後，可直接複製「項目」、「件數」，再使用「</a:t>
          </a:r>
          <a:r>
            <a:rPr lang="zh-TW" altLang="en-US" sz="1400" b="1" u="sng">
              <a:solidFill>
                <a:srgbClr val="FF0000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貼上值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」的方式，則可避免儲存格欄有合併的限制。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7.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若有新增列數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,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請確認總計公式是否有全選到。</a:t>
          </a:r>
          <a:endParaRPr lang="en-US" altLang="zh-TW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8.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表格完成後，請注意中文字體改為</a:t>
          </a:r>
          <a:r>
            <a:rPr lang="zh-TW" altLang="en-US" sz="1400" b="1" u="sng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標楷體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、英文字體使用</a:t>
          </a:r>
          <a:r>
            <a:rPr lang="en-US" altLang="zh-TW" sz="1400" b="1" u="sng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Times New</a:t>
          </a:r>
          <a:r>
            <a:rPr lang="en-US" altLang="zh-TW" sz="1400" b="1" u="sng" baseline="0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 </a:t>
          </a:r>
          <a:r>
            <a:rPr lang="en-US" altLang="zh-TW" sz="1400" b="1" u="sng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Roman</a:t>
          </a:r>
        </a:p>
        <a:p>
          <a:pPr algn="l"/>
          <a:r>
            <a:rPr lang="en-US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9.</a:t>
          </a:r>
          <a:r>
            <a:rPr lang="zh-TW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若為四年度皆有之項目，請用</a:t>
          </a:r>
          <a:r>
            <a:rPr lang="zh-TW" altLang="zh-TW" sz="1400" b="1" u="sng">
              <a:solidFill>
                <a:srgbClr val="FF0000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同顏色</a:t>
          </a:r>
          <a:r>
            <a:rPr lang="zh-TW" altLang="zh-TW" sz="1400" b="1" u="sng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標示</a:t>
          </a:r>
          <a:r>
            <a:rPr lang="zh-TW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，例如跌倒、壓</a:t>
          </a:r>
          <a:r>
            <a:rPr lang="zh-TW" altLang="en-US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力性損傷</a:t>
          </a:r>
          <a:r>
            <a:rPr lang="zh-TW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zh-TW" altLang="en-US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失禁性皮膚炎</a:t>
          </a:r>
          <a:r>
            <a:rPr lang="zh-TW" altLang="zh-TW" sz="1400" b="1">
              <a:solidFill>
                <a:schemeClr val="dk1"/>
              </a:solidFill>
              <a:effectLst/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等</a:t>
          </a:r>
          <a:endParaRPr lang="zh-TW" altLang="zh-TW" sz="1400">
            <a:effectLst/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/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10.</a:t>
          </a:r>
          <a:r>
            <a:rPr lang="zh-TW" altLang="en-US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完成後請刪除此項說明</a:t>
          </a:r>
          <a:r>
            <a:rPr lang="en-US" altLang="zh-TW" sz="1400" b="1"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1111</a:t>
          </a:r>
          <a:endParaRPr lang="zh-TW" altLang="en-US" sz="1400" b="1"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zoomScale="70" zoomScaleNormal="70" zoomScaleSheetLayoutView="70" workbookViewId="0">
      <selection activeCell="W10" sqref="W10"/>
    </sheetView>
  </sheetViews>
  <sheetFormatPr defaultRowHeight="16.5" x14ac:dyDescent="0.25"/>
  <cols>
    <col min="1" max="2" width="10.625" style="6" customWidth="1"/>
    <col min="3" max="3" width="6.375" style="6" bestFit="1" customWidth="1"/>
    <col min="4" max="5" width="8.625" style="6" customWidth="1"/>
    <col min="6" max="6" width="20.625" style="6" customWidth="1"/>
    <col min="7" max="7" width="6.375" style="6" customWidth="1"/>
    <col min="8" max="9" width="8.625" style="6" customWidth="1"/>
    <col min="10" max="10" width="20.625" style="6" customWidth="1"/>
    <col min="11" max="11" width="6.375" style="6" customWidth="1"/>
    <col min="12" max="13" width="8.625" style="6" customWidth="1"/>
    <col min="14" max="14" width="20.625" customWidth="1"/>
    <col min="15" max="15" width="6.375" customWidth="1"/>
    <col min="16" max="16" width="8.625" customWidth="1"/>
    <col min="17" max="17" width="8.75" customWidth="1"/>
  </cols>
  <sheetData>
    <row r="1" spans="1:17" ht="14.1" customHeight="1" x14ac:dyDescent="0.25">
      <c r="A1" s="44" t="s">
        <v>17</v>
      </c>
      <c r="B1" s="44"/>
      <c r="C1" s="44"/>
      <c r="D1" s="44"/>
      <c r="E1" s="44"/>
      <c r="F1" s="50" t="s">
        <v>9</v>
      </c>
      <c r="G1" s="50" t="s">
        <v>19</v>
      </c>
      <c r="H1" s="50"/>
      <c r="I1" s="50"/>
      <c r="J1" s="50"/>
      <c r="K1" s="50"/>
      <c r="L1" s="50"/>
      <c r="M1" s="49" t="s">
        <v>10</v>
      </c>
      <c r="N1" s="49"/>
      <c r="O1" s="46" t="s">
        <v>20</v>
      </c>
      <c r="P1" s="47"/>
      <c r="Q1" s="47"/>
    </row>
    <row r="2" spans="1:17" ht="14.1" customHeight="1" x14ac:dyDescent="0.25">
      <c r="A2" s="44"/>
      <c r="B2" s="44"/>
      <c r="C2" s="44"/>
      <c r="D2" s="44"/>
      <c r="E2" s="44"/>
      <c r="F2" s="50"/>
      <c r="G2" s="50"/>
      <c r="H2" s="50"/>
      <c r="I2" s="50"/>
      <c r="J2" s="50"/>
      <c r="K2" s="50"/>
      <c r="L2" s="50"/>
      <c r="M2" s="49" t="s">
        <v>11</v>
      </c>
      <c r="N2" s="49"/>
      <c r="O2" s="46" t="s">
        <v>41</v>
      </c>
      <c r="P2" s="47"/>
      <c r="Q2" s="47"/>
    </row>
    <row r="3" spans="1:17" ht="14.1" customHeight="1" x14ac:dyDescent="0.25">
      <c r="A3" s="45" t="s">
        <v>12</v>
      </c>
      <c r="B3" s="45"/>
      <c r="C3" s="45"/>
      <c r="D3" s="45"/>
      <c r="E3" s="45"/>
      <c r="F3" s="50" t="s">
        <v>13</v>
      </c>
      <c r="G3" s="51" t="s">
        <v>14</v>
      </c>
      <c r="H3" s="51"/>
      <c r="I3" s="51"/>
      <c r="J3" s="51"/>
      <c r="K3" s="51"/>
      <c r="L3" s="51"/>
      <c r="M3" s="49" t="s">
        <v>15</v>
      </c>
      <c r="N3" s="49"/>
      <c r="O3" s="46" t="s">
        <v>42</v>
      </c>
      <c r="P3" s="48"/>
      <c r="Q3" s="48"/>
    </row>
    <row r="4" spans="1:17" ht="14.1" customHeight="1" x14ac:dyDescent="0.25">
      <c r="A4" s="45"/>
      <c r="B4" s="45"/>
      <c r="C4" s="45"/>
      <c r="D4" s="45"/>
      <c r="E4" s="45"/>
      <c r="F4" s="50"/>
      <c r="G4" s="51"/>
      <c r="H4" s="51"/>
      <c r="I4" s="51"/>
      <c r="J4" s="51"/>
      <c r="K4" s="51"/>
      <c r="L4" s="51"/>
      <c r="M4" s="49" t="s">
        <v>16</v>
      </c>
      <c r="N4" s="49"/>
      <c r="O4" s="46" t="s">
        <v>18</v>
      </c>
      <c r="P4" s="46"/>
      <c r="Q4" s="46"/>
    </row>
    <row r="5" spans="1:17" ht="12" customHeight="1" x14ac:dyDescent="0.25"/>
    <row r="6" spans="1:17" ht="26.25" customHeight="1" x14ac:dyDescent="0.25">
      <c r="A6" s="52" t="s">
        <v>58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</row>
    <row r="7" spans="1:17" ht="21.75" customHeight="1" x14ac:dyDescent="0.25">
      <c r="A7" s="65" t="s">
        <v>23</v>
      </c>
      <c r="B7" s="66"/>
      <c r="C7" s="66"/>
      <c r="D7" s="66"/>
      <c r="E7" s="67"/>
      <c r="F7" s="65" t="s">
        <v>22</v>
      </c>
      <c r="G7" s="66"/>
      <c r="H7" s="66"/>
      <c r="I7" s="67"/>
      <c r="J7" s="65" t="s">
        <v>21</v>
      </c>
      <c r="K7" s="66"/>
      <c r="L7" s="66"/>
      <c r="M7" s="67"/>
      <c r="N7" s="65" t="s">
        <v>59</v>
      </c>
      <c r="O7" s="66"/>
      <c r="P7" s="66"/>
      <c r="Q7" s="67"/>
    </row>
    <row r="8" spans="1:17" ht="51" customHeight="1" x14ac:dyDescent="0.25">
      <c r="A8" s="72" t="s">
        <v>4</v>
      </c>
      <c r="B8" s="73"/>
      <c r="C8" s="1" t="s">
        <v>28</v>
      </c>
      <c r="D8" s="19" t="s">
        <v>29</v>
      </c>
      <c r="E8" s="19" t="s">
        <v>30</v>
      </c>
      <c r="F8" s="18" t="s">
        <v>26</v>
      </c>
      <c r="G8" s="18" t="s">
        <v>31</v>
      </c>
      <c r="H8" s="19" t="s">
        <v>29</v>
      </c>
      <c r="I8" s="19" t="s">
        <v>30</v>
      </c>
      <c r="J8" s="18" t="s">
        <v>26</v>
      </c>
      <c r="K8" s="18" t="s">
        <v>27</v>
      </c>
      <c r="L8" s="19" t="s">
        <v>29</v>
      </c>
      <c r="M8" s="19" t="s">
        <v>30</v>
      </c>
      <c r="N8" s="18" t="s">
        <v>26</v>
      </c>
      <c r="O8" s="18" t="s">
        <v>27</v>
      </c>
      <c r="P8" s="19" t="s">
        <v>29</v>
      </c>
      <c r="Q8" s="19" t="s">
        <v>30</v>
      </c>
    </row>
    <row r="9" spans="1:17" ht="30" customHeight="1" x14ac:dyDescent="0.25">
      <c r="A9" s="63" t="s">
        <v>40</v>
      </c>
      <c r="B9" s="64"/>
      <c r="C9" s="22">
        <v>5</v>
      </c>
      <c r="D9" s="23">
        <f>$C9/$C$27*100</f>
        <v>8.7719298245614024</v>
      </c>
      <c r="E9" s="23">
        <f>$C9/$C$32*100</f>
        <v>6.6120074054482933E-2</v>
      </c>
      <c r="F9" s="14" t="s">
        <v>40</v>
      </c>
      <c r="G9" s="24"/>
      <c r="H9" s="23" t="e">
        <f>$G9/$G$27*100</f>
        <v>#DIV/0!</v>
      </c>
      <c r="I9" s="23" t="e">
        <f>$G9/G$32*100</f>
        <v>#DIV/0!</v>
      </c>
      <c r="J9" s="14" t="s">
        <v>40</v>
      </c>
      <c r="K9" s="24"/>
      <c r="L9" s="23" t="e">
        <f>$K9/$K$27*100</f>
        <v>#DIV/0!</v>
      </c>
      <c r="M9" s="23" t="e">
        <f>$K9/K$32*100</f>
        <v>#DIV/0!</v>
      </c>
      <c r="N9" s="14" t="s">
        <v>40</v>
      </c>
      <c r="O9" s="24"/>
      <c r="P9" s="23" t="e">
        <f>$O9/$O$27*100</f>
        <v>#DIV/0!</v>
      </c>
      <c r="Q9" s="38" t="e">
        <f>O9/O$32*100</f>
        <v>#DIV/0!</v>
      </c>
    </row>
    <row r="10" spans="1:17" ht="30" customHeight="1" x14ac:dyDescent="0.25">
      <c r="A10" s="59" t="s">
        <v>32</v>
      </c>
      <c r="B10" s="60"/>
      <c r="C10" s="22">
        <v>14</v>
      </c>
      <c r="D10" s="23">
        <f t="shared" ref="D10:D27" si="0">$C10/$C$27*100</f>
        <v>24.561403508771928</v>
      </c>
      <c r="E10" s="23">
        <f t="shared" ref="E10:E17" si="1">$C10/$C$32*100</f>
        <v>0.18513620735255223</v>
      </c>
      <c r="F10" s="20" t="s">
        <v>33</v>
      </c>
      <c r="G10" s="24"/>
      <c r="H10" s="23" t="e">
        <f t="shared" ref="H10:H27" si="2">$G10/$G$27*100</f>
        <v>#DIV/0!</v>
      </c>
      <c r="I10" s="23" t="e">
        <f t="shared" ref="I10:I16" si="3">$G10/G$32*100</f>
        <v>#DIV/0!</v>
      </c>
      <c r="J10" s="20" t="s">
        <v>33</v>
      </c>
      <c r="K10" s="24"/>
      <c r="L10" s="23" t="e">
        <f t="shared" ref="L10:L27" si="4">$K10/$K$27*100</f>
        <v>#DIV/0!</v>
      </c>
      <c r="M10" s="23" t="e">
        <f t="shared" ref="M10:M16" si="5">$K10/K$32*100</f>
        <v>#DIV/0!</v>
      </c>
      <c r="N10" s="20" t="s">
        <v>33</v>
      </c>
      <c r="O10" s="24"/>
      <c r="P10" s="23" t="e">
        <f t="shared" ref="P10:P22" si="6">$O10/$O$27*100</f>
        <v>#DIV/0!</v>
      </c>
      <c r="Q10" s="38" t="e">
        <f t="shared" ref="Q10:Q17" si="7">O10/O$32*100</f>
        <v>#DIV/0!</v>
      </c>
    </row>
    <row r="11" spans="1:17" ht="30" customHeight="1" x14ac:dyDescent="0.25">
      <c r="A11" s="61" t="s">
        <v>34</v>
      </c>
      <c r="B11" s="62"/>
      <c r="C11" s="22">
        <v>3</v>
      </c>
      <c r="D11" s="23">
        <f t="shared" si="0"/>
        <v>5.2631578947368416</v>
      </c>
      <c r="E11" s="23">
        <f t="shared" si="1"/>
        <v>3.9672044432689763E-2</v>
      </c>
      <c r="F11" s="21" t="s">
        <v>34</v>
      </c>
      <c r="G11" s="24"/>
      <c r="H11" s="23" t="e">
        <f t="shared" si="2"/>
        <v>#DIV/0!</v>
      </c>
      <c r="I11" s="23" t="e">
        <f t="shared" si="3"/>
        <v>#DIV/0!</v>
      </c>
      <c r="J11" s="21" t="s">
        <v>35</v>
      </c>
      <c r="K11" s="24"/>
      <c r="L11" s="23" t="e">
        <f t="shared" si="4"/>
        <v>#DIV/0!</v>
      </c>
      <c r="M11" s="23" t="e">
        <f t="shared" si="5"/>
        <v>#DIV/0!</v>
      </c>
      <c r="N11" s="21" t="s">
        <v>35</v>
      </c>
      <c r="O11" s="24"/>
      <c r="P11" s="23" t="e">
        <f t="shared" si="6"/>
        <v>#DIV/0!</v>
      </c>
      <c r="Q11" s="38" t="e">
        <f>O11/O$32*100</f>
        <v>#DIV/0!</v>
      </c>
    </row>
    <row r="12" spans="1:17" ht="30" customHeight="1" x14ac:dyDescent="0.25">
      <c r="A12" s="53" t="s">
        <v>1</v>
      </c>
      <c r="B12" s="54"/>
      <c r="C12" s="22">
        <v>5</v>
      </c>
      <c r="D12" s="23">
        <f t="shared" si="0"/>
        <v>8.7719298245614024</v>
      </c>
      <c r="E12" s="23">
        <f t="shared" si="1"/>
        <v>6.6120074054482933E-2</v>
      </c>
      <c r="F12" s="15" t="s">
        <v>1</v>
      </c>
      <c r="G12" s="24"/>
      <c r="H12" s="23" t="e">
        <f t="shared" si="2"/>
        <v>#DIV/0!</v>
      </c>
      <c r="I12" s="23" t="e">
        <f t="shared" si="3"/>
        <v>#DIV/0!</v>
      </c>
      <c r="J12" s="15" t="s">
        <v>1</v>
      </c>
      <c r="K12" s="24"/>
      <c r="L12" s="23" t="e">
        <f t="shared" si="4"/>
        <v>#DIV/0!</v>
      </c>
      <c r="M12" s="23" t="e">
        <f t="shared" si="5"/>
        <v>#DIV/0!</v>
      </c>
      <c r="N12" s="15" t="s">
        <v>1</v>
      </c>
      <c r="O12" s="24"/>
      <c r="P12" s="23" t="e">
        <f t="shared" si="6"/>
        <v>#DIV/0!</v>
      </c>
      <c r="Q12" s="38" t="e">
        <f t="shared" si="7"/>
        <v>#DIV/0!</v>
      </c>
    </row>
    <row r="13" spans="1:17" ht="30" customHeight="1" x14ac:dyDescent="0.25">
      <c r="A13" s="53" t="s">
        <v>2</v>
      </c>
      <c r="B13" s="54"/>
      <c r="C13" s="22">
        <v>7</v>
      </c>
      <c r="D13" s="23">
        <f t="shared" si="0"/>
        <v>12.280701754385964</v>
      </c>
      <c r="E13" s="23">
        <f t="shared" si="1"/>
        <v>9.2568103676276117E-2</v>
      </c>
      <c r="F13" s="15" t="s">
        <v>2</v>
      </c>
      <c r="G13" s="24"/>
      <c r="H13" s="23" t="e">
        <f t="shared" si="2"/>
        <v>#DIV/0!</v>
      </c>
      <c r="I13" s="23" t="e">
        <f t="shared" si="3"/>
        <v>#DIV/0!</v>
      </c>
      <c r="J13" s="15" t="s">
        <v>2</v>
      </c>
      <c r="K13" s="24"/>
      <c r="L13" s="23" t="e">
        <f t="shared" si="4"/>
        <v>#DIV/0!</v>
      </c>
      <c r="M13" s="23" t="e">
        <f t="shared" si="5"/>
        <v>#DIV/0!</v>
      </c>
      <c r="N13" s="15" t="s">
        <v>2</v>
      </c>
      <c r="O13" s="24"/>
      <c r="P13" s="23" t="e">
        <f t="shared" si="6"/>
        <v>#DIV/0!</v>
      </c>
      <c r="Q13" s="38" t="e">
        <f t="shared" si="7"/>
        <v>#DIV/0!</v>
      </c>
    </row>
    <row r="14" spans="1:17" ht="30" customHeight="1" x14ac:dyDescent="0.25">
      <c r="A14" s="53" t="s">
        <v>5</v>
      </c>
      <c r="B14" s="54"/>
      <c r="C14" s="22">
        <v>5</v>
      </c>
      <c r="D14" s="23">
        <f t="shared" si="0"/>
        <v>8.7719298245614024</v>
      </c>
      <c r="E14" s="23">
        <f t="shared" si="1"/>
        <v>6.6120074054482933E-2</v>
      </c>
      <c r="F14" s="15" t="s">
        <v>5</v>
      </c>
      <c r="G14" s="24"/>
      <c r="H14" s="23" t="e">
        <f t="shared" si="2"/>
        <v>#DIV/0!</v>
      </c>
      <c r="I14" s="23" t="e">
        <f t="shared" si="3"/>
        <v>#DIV/0!</v>
      </c>
      <c r="J14" s="15" t="s">
        <v>5</v>
      </c>
      <c r="K14" s="25"/>
      <c r="L14" s="23" t="e">
        <f t="shared" si="4"/>
        <v>#DIV/0!</v>
      </c>
      <c r="M14" s="23" t="e">
        <f t="shared" si="5"/>
        <v>#DIV/0!</v>
      </c>
      <c r="N14" s="15" t="s">
        <v>5</v>
      </c>
      <c r="O14" s="25"/>
      <c r="P14" s="23" t="e">
        <f t="shared" si="6"/>
        <v>#DIV/0!</v>
      </c>
      <c r="Q14" s="38" t="e">
        <f t="shared" si="7"/>
        <v>#DIV/0!</v>
      </c>
    </row>
    <row r="15" spans="1:17" ht="30" customHeight="1" x14ac:dyDescent="0.25">
      <c r="A15" s="53" t="s">
        <v>36</v>
      </c>
      <c r="B15" s="54"/>
      <c r="C15" s="22">
        <v>3</v>
      </c>
      <c r="D15" s="23">
        <f t="shared" si="0"/>
        <v>5.2631578947368416</v>
      </c>
      <c r="E15" s="23">
        <f t="shared" si="1"/>
        <v>3.9672044432689763E-2</v>
      </c>
      <c r="F15" s="15" t="s">
        <v>36</v>
      </c>
      <c r="G15" s="26"/>
      <c r="H15" s="23" t="e">
        <f t="shared" si="2"/>
        <v>#DIV/0!</v>
      </c>
      <c r="I15" s="23" t="e">
        <f t="shared" si="3"/>
        <v>#DIV/0!</v>
      </c>
      <c r="J15" s="15" t="s">
        <v>36</v>
      </c>
      <c r="K15" s="24"/>
      <c r="L15" s="23" t="e">
        <f t="shared" si="4"/>
        <v>#DIV/0!</v>
      </c>
      <c r="M15" s="23" t="e">
        <f t="shared" si="5"/>
        <v>#DIV/0!</v>
      </c>
      <c r="N15" s="15" t="s">
        <v>36</v>
      </c>
      <c r="O15" s="24"/>
      <c r="P15" s="23" t="e">
        <f t="shared" si="6"/>
        <v>#DIV/0!</v>
      </c>
      <c r="Q15" s="38" t="e">
        <f t="shared" si="7"/>
        <v>#DIV/0!</v>
      </c>
    </row>
    <row r="16" spans="1:17" ht="30" customHeight="1" x14ac:dyDescent="0.25">
      <c r="A16" s="53" t="s">
        <v>37</v>
      </c>
      <c r="B16" s="54"/>
      <c r="C16" s="22">
        <v>1</v>
      </c>
      <c r="D16" s="23">
        <f t="shared" si="0"/>
        <v>1.7543859649122806</v>
      </c>
      <c r="E16" s="23">
        <f t="shared" si="1"/>
        <v>1.3224014810896589E-2</v>
      </c>
      <c r="F16" s="15" t="s">
        <v>37</v>
      </c>
      <c r="G16" s="24"/>
      <c r="H16" s="23" t="e">
        <f t="shared" si="2"/>
        <v>#DIV/0!</v>
      </c>
      <c r="I16" s="23" t="e">
        <f t="shared" si="3"/>
        <v>#DIV/0!</v>
      </c>
      <c r="J16" s="15" t="s">
        <v>37</v>
      </c>
      <c r="K16" s="25"/>
      <c r="L16" s="23" t="e">
        <f t="shared" si="4"/>
        <v>#DIV/0!</v>
      </c>
      <c r="M16" s="23" t="e">
        <f t="shared" si="5"/>
        <v>#DIV/0!</v>
      </c>
      <c r="N16" s="15" t="s">
        <v>37</v>
      </c>
      <c r="O16" s="25"/>
      <c r="P16" s="23" t="e">
        <f t="shared" si="6"/>
        <v>#DIV/0!</v>
      </c>
      <c r="Q16" s="38" t="e">
        <f t="shared" si="7"/>
        <v>#DIV/0!</v>
      </c>
    </row>
    <row r="17" spans="1:17" ht="30" customHeight="1" x14ac:dyDescent="0.25">
      <c r="A17" s="53" t="s">
        <v>0</v>
      </c>
      <c r="B17" s="54"/>
      <c r="C17" s="22">
        <v>6</v>
      </c>
      <c r="D17" s="23">
        <f t="shared" si="0"/>
        <v>10.526315789473683</v>
      </c>
      <c r="E17" s="23">
        <f t="shared" si="1"/>
        <v>7.9344088865379525E-2</v>
      </c>
      <c r="F17" s="15" t="s">
        <v>0</v>
      </c>
      <c r="G17" s="26"/>
      <c r="H17" s="23" t="e">
        <f t="shared" si="2"/>
        <v>#DIV/0!</v>
      </c>
      <c r="I17" s="23" t="e">
        <f>$G17/G$32*100</f>
        <v>#DIV/0!</v>
      </c>
      <c r="J17" s="15" t="s">
        <v>0</v>
      </c>
      <c r="K17" s="24"/>
      <c r="L17" s="23" t="e">
        <f t="shared" si="4"/>
        <v>#DIV/0!</v>
      </c>
      <c r="M17" s="23" t="e">
        <f>$K17/K$32*100</f>
        <v>#DIV/0!</v>
      </c>
      <c r="N17" s="15" t="s">
        <v>0</v>
      </c>
      <c r="O17" s="24"/>
      <c r="P17" s="23" t="e">
        <f t="shared" si="6"/>
        <v>#DIV/0!</v>
      </c>
      <c r="Q17" s="38" t="e">
        <f t="shared" si="7"/>
        <v>#DIV/0!</v>
      </c>
    </row>
    <row r="18" spans="1:17" ht="30" customHeight="1" x14ac:dyDescent="0.25">
      <c r="A18" s="57" t="s">
        <v>38</v>
      </c>
      <c r="B18" s="58"/>
      <c r="C18" s="27">
        <v>2</v>
      </c>
      <c r="D18" s="28">
        <f t="shared" si="0"/>
        <v>3.5087719298245612</v>
      </c>
      <c r="E18" s="35">
        <f>$C18/$C$33*100</f>
        <v>8.695652173913043</v>
      </c>
      <c r="F18" s="17" t="s">
        <v>38</v>
      </c>
      <c r="G18" s="29"/>
      <c r="H18" s="28" t="e">
        <f t="shared" si="2"/>
        <v>#DIV/0!</v>
      </c>
      <c r="I18" s="35" t="e">
        <f>$G18/G$33*100</f>
        <v>#DIV/0!</v>
      </c>
      <c r="J18" s="17" t="s">
        <v>38</v>
      </c>
      <c r="K18" s="29"/>
      <c r="L18" s="28" t="e">
        <f t="shared" si="4"/>
        <v>#DIV/0!</v>
      </c>
      <c r="M18" s="35" t="e">
        <f>K18/K$33*100</f>
        <v>#DIV/0!</v>
      </c>
      <c r="N18" s="17" t="s">
        <v>38</v>
      </c>
      <c r="O18" s="29"/>
      <c r="P18" s="28" t="e">
        <f t="shared" si="6"/>
        <v>#DIV/0!</v>
      </c>
      <c r="Q18" s="39" t="e">
        <f>O18/O$33*100</f>
        <v>#DIV/0!</v>
      </c>
    </row>
    <row r="19" spans="1:17" ht="30" customHeight="1" x14ac:dyDescent="0.25">
      <c r="A19" s="57" t="s">
        <v>39</v>
      </c>
      <c r="B19" s="58"/>
      <c r="C19" s="27">
        <v>4</v>
      </c>
      <c r="D19" s="28">
        <f t="shared" si="0"/>
        <v>7.0175438596491224</v>
      </c>
      <c r="E19" s="35">
        <f>$C19/$C34*100</f>
        <v>0.25526483726866628</v>
      </c>
      <c r="F19" s="17" t="s">
        <v>39</v>
      </c>
      <c r="G19" s="29"/>
      <c r="H19" s="28" t="e">
        <f t="shared" si="2"/>
        <v>#DIV/0!</v>
      </c>
      <c r="I19" s="35" t="e">
        <f>$G19/G$34*100</f>
        <v>#DIV/0!</v>
      </c>
      <c r="J19" s="17" t="s">
        <v>39</v>
      </c>
      <c r="K19" s="29"/>
      <c r="L19" s="28" t="e">
        <f t="shared" si="4"/>
        <v>#DIV/0!</v>
      </c>
      <c r="M19" s="35" t="e">
        <f>K19/K$34*100</f>
        <v>#DIV/0!</v>
      </c>
      <c r="N19" s="17" t="s">
        <v>39</v>
      </c>
      <c r="O19" s="29"/>
      <c r="P19" s="28" t="e">
        <f t="shared" si="6"/>
        <v>#DIV/0!</v>
      </c>
      <c r="Q19" s="39" t="e">
        <f>O19/O$34*100</f>
        <v>#DIV/0!</v>
      </c>
    </row>
    <row r="20" spans="1:17" ht="30" customHeight="1" x14ac:dyDescent="0.25">
      <c r="A20" s="55" t="s">
        <v>54</v>
      </c>
      <c r="B20" s="56"/>
      <c r="C20" s="22">
        <v>2</v>
      </c>
      <c r="D20" s="23">
        <f t="shared" si="0"/>
        <v>3.5087719298245612</v>
      </c>
      <c r="E20" s="36">
        <f>$C20/C$35*100</f>
        <v>1.3333333333333335</v>
      </c>
      <c r="F20" s="37" t="s">
        <v>55</v>
      </c>
      <c r="G20" s="24"/>
      <c r="H20" s="23" t="e">
        <f t="shared" si="2"/>
        <v>#DIV/0!</v>
      </c>
      <c r="I20" s="36" t="e">
        <f>$C20/G$35*100</f>
        <v>#DIV/0!</v>
      </c>
      <c r="J20" s="37" t="s">
        <v>55</v>
      </c>
      <c r="K20" s="24"/>
      <c r="L20" s="23" t="e">
        <f t="shared" si="4"/>
        <v>#DIV/0!</v>
      </c>
      <c r="M20" s="36" t="e">
        <f>$C20/K$35*100</f>
        <v>#DIV/0!</v>
      </c>
      <c r="N20" s="37" t="s">
        <v>55</v>
      </c>
      <c r="O20" s="24"/>
      <c r="P20" s="23" t="e">
        <f t="shared" si="6"/>
        <v>#DIV/0!</v>
      </c>
      <c r="Q20" s="40" t="e">
        <f>O20/O$35*100</f>
        <v>#DIV/0!</v>
      </c>
    </row>
    <row r="21" spans="1:17" ht="30" customHeight="1" x14ac:dyDescent="0.25">
      <c r="A21" s="53"/>
      <c r="B21" s="54"/>
      <c r="C21" s="22"/>
      <c r="D21" s="23">
        <f t="shared" si="0"/>
        <v>0</v>
      </c>
      <c r="E21" s="23">
        <f t="shared" ref="E21:E26" si="8">$C21/$C$32*100</f>
        <v>0</v>
      </c>
      <c r="F21" s="15"/>
      <c r="G21" s="24"/>
      <c r="H21" s="23" t="e">
        <f t="shared" si="2"/>
        <v>#DIV/0!</v>
      </c>
      <c r="I21" s="23" t="e">
        <f t="shared" ref="I21:I26" si="9">$G21/G$32*100</f>
        <v>#DIV/0!</v>
      </c>
      <c r="J21" s="16"/>
      <c r="K21" s="24"/>
      <c r="L21" s="23" t="e">
        <f t="shared" si="4"/>
        <v>#DIV/0!</v>
      </c>
      <c r="M21" s="23" t="e">
        <f t="shared" ref="M21:M26" si="10">K21/K$32*100</f>
        <v>#DIV/0!</v>
      </c>
      <c r="N21" s="16"/>
      <c r="O21" s="24"/>
      <c r="P21" s="23" t="e">
        <f t="shared" si="6"/>
        <v>#DIV/0!</v>
      </c>
      <c r="Q21" s="38" t="e">
        <f t="shared" ref="Q21:Q26" si="11">O21/O$32*100</f>
        <v>#DIV/0!</v>
      </c>
    </row>
    <row r="22" spans="1:17" ht="30" customHeight="1" x14ac:dyDescent="0.25">
      <c r="A22" s="53"/>
      <c r="B22" s="54"/>
      <c r="C22" s="22"/>
      <c r="D22" s="23">
        <f t="shared" si="0"/>
        <v>0</v>
      </c>
      <c r="E22" s="23">
        <f t="shared" si="8"/>
        <v>0</v>
      </c>
      <c r="F22" s="15"/>
      <c r="G22" s="24"/>
      <c r="H22" s="23" t="e">
        <f t="shared" si="2"/>
        <v>#DIV/0!</v>
      </c>
      <c r="I22" s="23" t="e">
        <f t="shared" si="9"/>
        <v>#DIV/0!</v>
      </c>
      <c r="J22" s="16"/>
      <c r="K22" s="24"/>
      <c r="L22" s="23" t="e">
        <f t="shared" si="4"/>
        <v>#DIV/0!</v>
      </c>
      <c r="M22" s="23" t="e">
        <f t="shared" si="10"/>
        <v>#DIV/0!</v>
      </c>
      <c r="N22" s="16"/>
      <c r="O22" s="24"/>
      <c r="P22" s="23" t="e">
        <f t="shared" si="6"/>
        <v>#DIV/0!</v>
      </c>
      <c r="Q22" s="38" t="e">
        <f t="shared" si="11"/>
        <v>#DIV/0!</v>
      </c>
    </row>
    <row r="23" spans="1:17" ht="30" customHeight="1" x14ac:dyDescent="0.25">
      <c r="A23" s="53"/>
      <c r="B23" s="54"/>
      <c r="C23" s="22"/>
      <c r="D23" s="23">
        <f t="shared" si="0"/>
        <v>0</v>
      </c>
      <c r="E23" s="23">
        <f t="shared" si="8"/>
        <v>0</v>
      </c>
      <c r="F23" s="15"/>
      <c r="G23" s="24"/>
      <c r="H23" s="23" t="e">
        <f t="shared" si="2"/>
        <v>#DIV/0!</v>
      </c>
      <c r="I23" s="23" t="e">
        <f t="shared" si="9"/>
        <v>#DIV/0!</v>
      </c>
      <c r="J23" s="16"/>
      <c r="K23" s="24"/>
      <c r="L23" s="23" t="e">
        <f t="shared" si="4"/>
        <v>#DIV/0!</v>
      </c>
      <c r="M23" s="23" t="e">
        <f t="shared" si="10"/>
        <v>#DIV/0!</v>
      </c>
      <c r="N23" s="16"/>
      <c r="O23" s="24"/>
      <c r="P23" s="23" t="e">
        <f>$O23/$O$27*100</f>
        <v>#DIV/0!</v>
      </c>
      <c r="Q23" s="38" t="e">
        <f t="shared" si="11"/>
        <v>#DIV/0!</v>
      </c>
    </row>
    <row r="24" spans="1:17" ht="30" customHeight="1" x14ac:dyDescent="0.25">
      <c r="A24" s="53"/>
      <c r="B24" s="54"/>
      <c r="C24" s="22"/>
      <c r="D24" s="23">
        <f t="shared" si="0"/>
        <v>0</v>
      </c>
      <c r="E24" s="23">
        <f t="shared" si="8"/>
        <v>0</v>
      </c>
      <c r="F24" s="16"/>
      <c r="G24" s="24"/>
      <c r="H24" s="23" t="e">
        <f t="shared" si="2"/>
        <v>#DIV/0!</v>
      </c>
      <c r="I24" s="23" t="e">
        <f t="shared" si="9"/>
        <v>#DIV/0!</v>
      </c>
      <c r="J24" s="16"/>
      <c r="K24" s="24"/>
      <c r="L24" s="23" t="e">
        <f t="shared" si="4"/>
        <v>#DIV/0!</v>
      </c>
      <c r="M24" s="23" t="e">
        <f t="shared" si="10"/>
        <v>#DIV/0!</v>
      </c>
      <c r="N24" s="16"/>
      <c r="O24" s="24"/>
      <c r="P24" s="23" t="e">
        <f>$O24/$O$27*100</f>
        <v>#DIV/0!</v>
      </c>
      <c r="Q24" s="38" t="e">
        <f t="shared" si="11"/>
        <v>#DIV/0!</v>
      </c>
    </row>
    <row r="25" spans="1:17" ht="30" customHeight="1" x14ac:dyDescent="0.25">
      <c r="A25" s="53"/>
      <c r="B25" s="54"/>
      <c r="C25" s="22"/>
      <c r="D25" s="23">
        <f t="shared" si="0"/>
        <v>0</v>
      </c>
      <c r="E25" s="23">
        <f t="shared" si="8"/>
        <v>0</v>
      </c>
      <c r="F25" s="16"/>
      <c r="G25" s="24"/>
      <c r="H25" s="23" t="e">
        <f t="shared" si="2"/>
        <v>#DIV/0!</v>
      </c>
      <c r="I25" s="23" t="e">
        <f t="shared" si="9"/>
        <v>#DIV/0!</v>
      </c>
      <c r="J25" s="16"/>
      <c r="K25" s="24"/>
      <c r="L25" s="23" t="e">
        <f t="shared" si="4"/>
        <v>#DIV/0!</v>
      </c>
      <c r="M25" s="23" t="e">
        <f t="shared" si="10"/>
        <v>#DIV/0!</v>
      </c>
      <c r="N25" s="16"/>
      <c r="O25" s="24"/>
      <c r="P25" s="23" t="e">
        <f>$O25/$O$27*100</f>
        <v>#DIV/0!</v>
      </c>
      <c r="Q25" s="38" t="e">
        <f t="shared" si="11"/>
        <v>#DIV/0!</v>
      </c>
    </row>
    <row r="26" spans="1:17" ht="30" customHeight="1" x14ac:dyDescent="0.25">
      <c r="A26" s="53"/>
      <c r="B26" s="54"/>
      <c r="C26" s="22"/>
      <c r="D26" s="23">
        <f t="shared" si="0"/>
        <v>0</v>
      </c>
      <c r="E26" s="23">
        <f t="shared" si="8"/>
        <v>0</v>
      </c>
      <c r="F26" s="16"/>
      <c r="G26" s="24"/>
      <c r="H26" s="23" t="e">
        <f t="shared" si="2"/>
        <v>#DIV/0!</v>
      </c>
      <c r="I26" s="23" t="e">
        <f t="shared" si="9"/>
        <v>#DIV/0!</v>
      </c>
      <c r="J26" s="16"/>
      <c r="K26" s="24"/>
      <c r="L26" s="23" t="e">
        <f t="shared" si="4"/>
        <v>#DIV/0!</v>
      </c>
      <c r="M26" s="23" t="e">
        <f t="shared" si="10"/>
        <v>#DIV/0!</v>
      </c>
      <c r="N26" s="16"/>
      <c r="O26" s="24"/>
      <c r="P26" s="23" t="e">
        <f>$O26/$O$27*100</f>
        <v>#DIV/0!</v>
      </c>
      <c r="Q26" s="38" t="e">
        <f t="shared" si="11"/>
        <v>#DIV/0!</v>
      </c>
    </row>
    <row r="27" spans="1:17" s="4" customFormat="1" ht="30" customHeight="1" x14ac:dyDescent="0.25">
      <c r="A27" s="70" t="s">
        <v>3</v>
      </c>
      <c r="B27" s="71"/>
      <c r="C27" s="5">
        <f>SUM(C9:C26)</f>
        <v>57</v>
      </c>
      <c r="D27" s="3">
        <f t="shared" si="0"/>
        <v>100</v>
      </c>
      <c r="E27" s="3"/>
      <c r="F27" s="2" t="s">
        <v>3</v>
      </c>
      <c r="G27" s="5">
        <f>SUM(G9:G26)</f>
        <v>0</v>
      </c>
      <c r="H27" s="3" t="e">
        <f t="shared" si="2"/>
        <v>#DIV/0!</v>
      </c>
      <c r="I27" s="23"/>
      <c r="J27" s="2" t="s">
        <v>3</v>
      </c>
      <c r="K27" s="5">
        <f>SUM(K9:K26)</f>
        <v>0</v>
      </c>
      <c r="L27" s="5" t="e">
        <f t="shared" si="4"/>
        <v>#DIV/0!</v>
      </c>
      <c r="M27" s="3"/>
      <c r="N27" s="2" t="s">
        <v>3</v>
      </c>
      <c r="O27" s="5">
        <f>SUM(O9:O26)</f>
        <v>0</v>
      </c>
      <c r="P27" s="3" t="e">
        <f>$O27/$O$27*100</f>
        <v>#DIV/0!</v>
      </c>
      <c r="Q27" s="41"/>
    </row>
    <row r="28" spans="1:17" s="4" customFormat="1" ht="30" customHeight="1" x14ac:dyDescent="0.25">
      <c r="A28" s="30" t="s">
        <v>57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s="7" customFormat="1" ht="30" customHeight="1" x14ac:dyDescent="0.25">
      <c r="A29" s="68" t="s">
        <v>6</v>
      </c>
      <c r="B29" s="69"/>
      <c r="H29" s="7" t="s">
        <v>7</v>
      </c>
      <c r="N29" s="7" t="s">
        <v>8</v>
      </c>
    </row>
    <row r="32" spans="1:17" ht="29.25" customHeight="1" x14ac:dyDescent="0.25">
      <c r="A32" s="42" t="s">
        <v>25</v>
      </c>
      <c r="B32" s="43"/>
      <c r="C32" s="31">
        <v>7562</v>
      </c>
      <c r="F32" s="32" t="s">
        <v>24</v>
      </c>
      <c r="G32" s="33"/>
      <c r="J32" s="32" t="s">
        <v>24</v>
      </c>
      <c r="K32" s="33"/>
      <c r="N32" s="32" t="s">
        <v>24</v>
      </c>
      <c r="O32" s="33"/>
    </row>
    <row r="33" spans="1:17" s="12" customFormat="1" ht="29.25" customHeight="1" x14ac:dyDescent="0.25">
      <c r="A33" s="43" t="s">
        <v>49</v>
      </c>
      <c r="B33" s="43"/>
      <c r="C33" s="31">
        <v>23</v>
      </c>
      <c r="D33" s="9"/>
      <c r="E33" s="11"/>
      <c r="F33" s="34" t="s">
        <v>43</v>
      </c>
      <c r="G33" s="33"/>
      <c r="H33" s="9"/>
      <c r="I33" s="9"/>
      <c r="J33" s="34" t="s">
        <v>43</v>
      </c>
      <c r="K33" s="33"/>
      <c r="L33" s="11"/>
      <c r="M33" s="9"/>
      <c r="N33" s="34" t="s">
        <v>43</v>
      </c>
      <c r="O33" s="33"/>
      <c r="P33" s="9"/>
      <c r="Q33" s="9"/>
    </row>
    <row r="34" spans="1:17" ht="29.25" customHeight="1" x14ac:dyDescent="0.25">
      <c r="A34" s="42" t="s">
        <v>45</v>
      </c>
      <c r="B34" s="43"/>
      <c r="C34" s="31">
        <v>1567</v>
      </c>
      <c r="F34" s="32" t="s">
        <v>44</v>
      </c>
      <c r="G34" s="33"/>
      <c r="J34" s="32" t="s">
        <v>44</v>
      </c>
      <c r="K34" s="33"/>
      <c r="N34" s="32" t="s">
        <v>46</v>
      </c>
      <c r="O34" s="33"/>
    </row>
    <row r="35" spans="1:17" ht="29.25" customHeight="1" x14ac:dyDescent="0.25">
      <c r="A35" s="42" t="s">
        <v>51</v>
      </c>
      <c r="B35" s="43"/>
      <c r="C35" s="31">
        <v>150</v>
      </c>
      <c r="F35" s="32" t="s">
        <v>52</v>
      </c>
      <c r="G35" s="33"/>
      <c r="J35" s="32" t="s">
        <v>53</v>
      </c>
      <c r="K35" s="33"/>
      <c r="N35" s="32" t="s">
        <v>52</v>
      </c>
      <c r="O35" s="33"/>
    </row>
    <row r="36" spans="1:17" x14ac:dyDescent="0.25">
      <c r="C36" s="13"/>
    </row>
  </sheetData>
  <mergeCells count="44">
    <mergeCell ref="A8:B8"/>
    <mergeCell ref="A26:B26"/>
    <mergeCell ref="A7:E7"/>
    <mergeCell ref="F7:I7"/>
    <mergeCell ref="J7:M7"/>
    <mergeCell ref="A12:B12"/>
    <mergeCell ref="A29:B29"/>
    <mergeCell ref="A27:B27"/>
    <mergeCell ref="A16:B16"/>
    <mergeCell ref="A23:B23"/>
    <mergeCell ref="A24:B24"/>
    <mergeCell ref="A17:B17"/>
    <mergeCell ref="A34:B34"/>
    <mergeCell ref="A32:B32"/>
    <mergeCell ref="A6:Q6"/>
    <mergeCell ref="A25:B25"/>
    <mergeCell ref="A20:B20"/>
    <mergeCell ref="A21:B21"/>
    <mergeCell ref="A22:B22"/>
    <mergeCell ref="A19:B19"/>
    <mergeCell ref="A10:B10"/>
    <mergeCell ref="A11:B11"/>
    <mergeCell ref="A9:B9"/>
    <mergeCell ref="A14:B14"/>
    <mergeCell ref="A15:B15"/>
    <mergeCell ref="A18:B18"/>
    <mergeCell ref="A13:B13"/>
    <mergeCell ref="N7:Q7"/>
    <mergeCell ref="A35:B35"/>
    <mergeCell ref="A1:E2"/>
    <mergeCell ref="A3:E4"/>
    <mergeCell ref="O1:Q1"/>
    <mergeCell ref="O2:Q2"/>
    <mergeCell ref="O3:Q3"/>
    <mergeCell ref="O4:Q4"/>
    <mergeCell ref="M1:N1"/>
    <mergeCell ref="F1:F2"/>
    <mergeCell ref="F3:F4"/>
    <mergeCell ref="M2:N2"/>
    <mergeCell ref="M3:N3"/>
    <mergeCell ref="M4:N4"/>
    <mergeCell ref="G1:L2"/>
    <mergeCell ref="G3:L4"/>
    <mergeCell ref="A33:B33"/>
  </mergeCells>
  <phoneticPr fontId="1" type="noConversion"/>
  <printOptions horizontalCentered="1"/>
  <pageMargins left="0" right="0" top="0" bottom="0.19685039370078741" header="0" footer="0.11811023622047245"/>
  <pageSetup paperSize="9" scale="6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"/>
  <sheetViews>
    <sheetView tabSelected="1" zoomScale="70" zoomScaleNormal="70" zoomScaleSheetLayoutView="70" workbookViewId="0">
      <selection activeCell="U10" sqref="U10"/>
    </sheetView>
  </sheetViews>
  <sheetFormatPr defaultRowHeight="16.5" x14ac:dyDescent="0.25"/>
  <cols>
    <col min="1" max="2" width="10.625" style="6" customWidth="1"/>
    <col min="3" max="3" width="6.375" style="6" bestFit="1" customWidth="1"/>
    <col min="4" max="5" width="8.625" style="6" customWidth="1"/>
    <col min="6" max="6" width="20.625" style="6" customWidth="1"/>
    <col min="7" max="7" width="6.375" style="6" customWidth="1"/>
    <col min="8" max="9" width="8.625" style="6" customWidth="1"/>
    <col min="10" max="10" width="20.625" style="6" customWidth="1"/>
    <col min="11" max="11" width="6.375" style="6" customWidth="1"/>
    <col min="12" max="13" width="8.625" style="6" customWidth="1"/>
    <col min="14" max="14" width="20.625" customWidth="1"/>
    <col min="15" max="15" width="6.375" customWidth="1"/>
    <col min="16" max="16" width="8.625" customWidth="1"/>
    <col min="17" max="17" width="8.75" customWidth="1"/>
  </cols>
  <sheetData>
    <row r="1" spans="1:17" ht="14.1" customHeight="1" x14ac:dyDescent="0.25">
      <c r="A1" s="44" t="s">
        <v>17</v>
      </c>
      <c r="B1" s="44"/>
      <c r="C1" s="44"/>
      <c r="D1" s="44"/>
      <c r="E1" s="44"/>
      <c r="F1" s="50" t="s">
        <v>9</v>
      </c>
      <c r="G1" s="50" t="s">
        <v>19</v>
      </c>
      <c r="H1" s="50"/>
      <c r="I1" s="50"/>
      <c r="J1" s="50"/>
      <c r="K1" s="50"/>
      <c r="L1" s="50"/>
      <c r="M1" s="49" t="s">
        <v>10</v>
      </c>
      <c r="N1" s="49"/>
      <c r="O1" s="46" t="s">
        <v>20</v>
      </c>
      <c r="P1" s="47"/>
      <c r="Q1" s="47"/>
    </row>
    <row r="2" spans="1:17" ht="14.1" customHeight="1" x14ac:dyDescent="0.25">
      <c r="A2" s="44"/>
      <c r="B2" s="44"/>
      <c r="C2" s="44"/>
      <c r="D2" s="44"/>
      <c r="E2" s="44"/>
      <c r="F2" s="50"/>
      <c r="G2" s="50"/>
      <c r="H2" s="50"/>
      <c r="I2" s="50"/>
      <c r="J2" s="50"/>
      <c r="K2" s="50"/>
      <c r="L2" s="50"/>
      <c r="M2" s="49" t="s">
        <v>11</v>
      </c>
      <c r="N2" s="49"/>
      <c r="O2" s="46" t="s">
        <v>41</v>
      </c>
      <c r="P2" s="47"/>
      <c r="Q2" s="47"/>
    </row>
    <row r="3" spans="1:17" ht="14.1" customHeight="1" x14ac:dyDescent="0.25">
      <c r="A3" s="45" t="s">
        <v>12</v>
      </c>
      <c r="B3" s="45"/>
      <c r="C3" s="45"/>
      <c r="D3" s="45"/>
      <c r="E3" s="45"/>
      <c r="F3" s="50" t="s">
        <v>13</v>
      </c>
      <c r="G3" s="51" t="s">
        <v>14</v>
      </c>
      <c r="H3" s="51"/>
      <c r="I3" s="51"/>
      <c r="J3" s="51"/>
      <c r="K3" s="51"/>
      <c r="L3" s="51"/>
      <c r="M3" s="49" t="s">
        <v>15</v>
      </c>
      <c r="N3" s="49"/>
      <c r="O3" s="46" t="s">
        <v>42</v>
      </c>
      <c r="P3" s="48"/>
      <c r="Q3" s="48"/>
    </row>
    <row r="4" spans="1:17" ht="14.1" customHeight="1" x14ac:dyDescent="0.25">
      <c r="A4" s="45"/>
      <c r="B4" s="45"/>
      <c r="C4" s="45"/>
      <c r="D4" s="45"/>
      <c r="E4" s="45"/>
      <c r="F4" s="50"/>
      <c r="G4" s="51"/>
      <c r="H4" s="51"/>
      <c r="I4" s="51"/>
      <c r="J4" s="51"/>
      <c r="K4" s="51"/>
      <c r="L4" s="51"/>
      <c r="M4" s="49" t="s">
        <v>16</v>
      </c>
      <c r="N4" s="49"/>
      <c r="O4" s="46" t="s">
        <v>18</v>
      </c>
      <c r="P4" s="46"/>
      <c r="Q4" s="46"/>
    </row>
    <row r="5" spans="1:17" ht="12" customHeight="1" x14ac:dyDescent="0.25"/>
    <row r="6" spans="1:17" ht="26.25" customHeight="1" x14ac:dyDescent="0.25">
      <c r="A6" s="52" t="s">
        <v>58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</row>
    <row r="7" spans="1:17" ht="21.75" customHeight="1" x14ac:dyDescent="0.25">
      <c r="A7" s="65" t="s">
        <v>23</v>
      </c>
      <c r="B7" s="66"/>
      <c r="C7" s="66"/>
      <c r="D7" s="66"/>
      <c r="E7" s="67"/>
      <c r="F7" s="65" t="s">
        <v>22</v>
      </c>
      <c r="G7" s="66"/>
      <c r="H7" s="66"/>
      <c r="I7" s="67"/>
      <c r="J7" s="65" t="s">
        <v>21</v>
      </c>
      <c r="K7" s="66"/>
      <c r="L7" s="66"/>
      <c r="M7" s="67"/>
      <c r="N7" s="65" t="s">
        <v>59</v>
      </c>
      <c r="O7" s="66"/>
      <c r="P7" s="66"/>
      <c r="Q7" s="67"/>
    </row>
    <row r="8" spans="1:17" ht="51" customHeight="1" x14ac:dyDescent="0.25">
      <c r="A8" s="72" t="s">
        <v>4</v>
      </c>
      <c r="B8" s="73"/>
      <c r="C8" s="1" t="s">
        <v>28</v>
      </c>
      <c r="D8" s="19" t="s">
        <v>29</v>
      </c>
      <c r="E8" s="19" t="s">
        <v>30</v>
      </c>
      <c r="F8" s="18" t="s">
        <v>26</v>
      </c>
      <c r="G8" s="18" t="s">
        <v>31</v>
      </c>
      <c r="H8" s="19" t="s">
        <v>29</v>
      </c>
      <c r="I8" s="19" t="s">
        <v>30</v>
      </c>
      <c r="J8" s="18" t="s">
        <v>26</v>
      </c>
      <c r="K8" s="18" t="s">
        <v>27</v>
      </c>
      <c r="L8" s="19" t="s">
        <v>29</v>
      </c>
      <c r="M8" s="19" t="s">
        <v>30</v>
      </c>
      <c r="N8" s="18" t="s">
        <v>26</v>
      </c>
      <c r="O8" s="18" t="s">
        <v>27</v>
      </c>
      <c r="P8" s="19" t="s">
        <v>29</v>
      </c>
      <c r="Q8" s="19" t="s">
        <v>30</v>
      </c>
    </row>
    <row r="9" spans="1:17" ht="30" customHeight="1" x14ac:dyDescent="0.25">
      <c r="A9" s="63" t="s">
        <v>40</v>
      </c>
      <c r="B9" s="64"/>
      <c r="C9" s="22"/>
      <c r="D9" s="23" t="e">
        <f>$C9/$C$27*100</f>
        <v>#DIV/0!</v>
      </c>
      <c r="E9" s="23" t="e">
        <f>$C9/$C$32*100</f>
        <v>#DIV/0!</v>
      </c>
      <c r="F9" s="14" t="s">
        <v>40</v>
      </c>
      <c r="G9" s="24"/>
      <c r="H9" s="23" t="e">
        <f>$G9/$G$27*100</f>
        <v>#DIV/0!</v>
      </c>
      <c r="I9" s="23" t="e">
        <f>$G9/G$32*100</f>
        <v>#DIV/0!</v>
      </c>
      <c r="J9" s="14" t="s">
        <v>40</v>
      </c>
      <c r="K9" s="24"/>
      <c r="L9" s="23" t="e">
        <f>$K9/$K$27*100</f>
        <v>#DIV/0!</v>
      </c>
      <c r="M9" s="23" t="e">
        <f>$K9/K$32*100</f>
        <v>#DIV/0!</v>
      </c>
      <c r="N9" s="14" t="s">
        <v>40</v>
      </c>
      <c r="O9" s="24"/>
      <c r="P9" s="23" t="e">
        <f>$O9/$O$27*100</f>
        <v>#DIV/0!</v>
      </c>
      <c r="Q9" s="38" t="e">
        <f>O9/O$32*100</f>
        <v>#DIV/0!</v>
      </c>
    </row>
    <row r="10" spans="1:17" ht="30" customHeight="1" x14ac:dyDescent="0.25">
      <c r="A10" s="59" t="s">
        <v>32</v>
      </c>
      <c r="B10" s="60"/>
      <c r="C10" s="22"/>
      <c r="D10" s="23" t="e">
        <f t="shared" ref="D10:D27" si="0">$C10/$C$27*100</f>
        <v>#DIV/0!</v>
      </c>
      <c r="E10" s="23" t="e">
        <f t="shared" ref="E10:E17" si="1">$C10/$C$32*100</f>
        <v>#DIV/0!</v>
      </c>
      <c r="F10" s="20" t="s">
        <v>33</v>
      </c>
      <c r="G10" s="24"/>
      <c r="H10" s="23" t="e">
        <f t="shared" ref="H10:H27" si="2">$G10/$G$27*100</f>
        <v>#DIV/0!</v>
      </c>
      <c r="I10" s="23" t="e">
        <f t="shared" ref="I10:I16" si="3">$G10/G$32*100</f>
        <v>#DIV/0!</v>
      </c>
      <c r="J10" s="20" t="s">
        <v>33</v>
      </c>
      <c r="K10" s="24"/>
      <c r="L10" s="23" t="e">
        <f t="shared" ref="L10:L27" si="4">$K10/$K$27*100</f>
        <v>#DIV/0!</v>
      </c>
      <c r="M10" s="23" t="e">
        <f t="shared" ref="M10:M16" si="5">$K10/K$32*100</f>
        <v>#DIV/0!</v>
      </c>
      <c r="N10" s="20" t="s">
        <v>33</v>
      </c>
      <c r="O10" s="24"/>
      <c r="P10" s="23" t="e">
        <f t="shared" ref="P10:P22" si="6">$O10/$O$27*100</f>
        <v>#DIV/0!</v>
      </c>
      <c r="Q10" s="38" t="e">
        <f t="shared" ref="Q10:Q17" si="7">O10/O$32*100</f>
        <v>#DIV/0!</v>
      </c>
    </row>
    <row r="11" spans="1:17" ht="30" customHeight="1" x14ac:dyDescent="0.25">
      <c r="A11" s="61" t="s">
        <v>34</v>
      </c>
      <c r="B11" s="62"/>
      <c r="C11" s="22"/>
      <c r="D11" s="23" t="e">
        <f t="shared" si="0"/>
        <v>#DIV/0!</v>
      </c>
      <c r="E11" s="23" t="e">
        <f t="shared" si="1"/>
        <v>#DIV/0!</v>
      </c>
      <c r="F11" s="21" t="s">
        <v>34</v>
      </c>
      <c r="G11" s="24"/>
      <c r="H11" s="23" t="e">
        <f t="shared" si="2"/>
        <v>#DIV/0!</v>
      </c>
      <c r="I11" s="23" t="e">
        <f t="shared" si="3"/>
        <v>#DIV/0!</v>
      </c>
      <c r="J11" s="21" t="s">
        <v>35</v>
      </c>
      <c r="K11" s="24"/>
      <c r="L11" s="23" t="e">
        <f t="shared" si="4"/>
        <v>#DIV/0!</v>
      </c>
      <c r="M11" s="23" t="e">
        <f t="shared" si="5"/>
        <v>#DIV/0!</v>
      </c>
      <c r="N11" s="21" t="s">
        <v>35</v>
      </c>
      <c r="O11" s="24"/>
      <c r="P11" s="23" t="e">
        <f t="shared" si="6"/>
        <v>#DIV/0!</v>
      </c>
      <c r="Q11" s="38" t="e">
        <f>O11/O$32*100</f>
        <v>#DIV/0!</v>
      </c>
    </row>
    <row r="12" spans="1:17" ht="30" customHeight="1" x14ac:dyDescent="0.25">
      <c r="A12" s="53" t="s">
        <v>1</v>
      </c>
      <c r="B12" s="54"/>
      <c r="C12" s="22"/>
      <c r="D12" s="23" t="e">
        <f t="shared" si="0"/>
        <v>#DIV/0!</v>
      </c>
      <c r="E12" s="23" t="e">
        <f t="shared" si="1"/>
        <v>#DIV/0!</v>
      </c>
      <c r="F12" s="15" t="s">
        <v>1</v>
      </c>
      <c r="G12" s="24"/>
      <c r="H12" s="23" t="e">
        <f t="shared" si="2"/>
        <v>#DIV/0!</v>
      </c>
      <c r="I12" s="23" t="e">
        <f t="shared" si="3"/>
        <v>#DIV/0!</v>
      </c>
      <c r="J12" s="15" t="s">
        <v>1</v>
      </c>
      <c r="K12" s="24"/>
      <c r="L12" s="23" t="e">
        <f t="shared" si="4"/>
        <v>#DIV/0!</v>
      </c>
      <c r="M12" s="23" t="e">
        <f t="shared" si="5"/>
        <v>#DIV/0!</v>
      </c>
      <c r="N12" s="15" t="s">
        <v>1</v>
      </c>
      <c r="O12" s="24"/>
      <c r="P12" s="23" t="e">
        <f t="shared" si="6"/>
        <v>#DIV/0!</v>
      </c>
      <c r="Q12" s="38" t="e">
        <f t="shared" si="7"/>
        <v>#DIV/0!</v>
      </c>
    </row>
    <row r="13" spans="1:17" ht="30" customHeight="1" x14ac:dyDescent="0.25">
      <c r="A13" s="53" t="s">
        <v>2</v>
      </c>
      <c r="B13" s="54"/>
      <c r="C13" s="22"/>
      <c r="D13" s="23" t="e">
        <f t="shared" si="0"/>
        <v>#DIV/0!</v>
      </c>
      <c r="E13" s="23" t="e">
        <f t="shared" si="1"/>
        <v>#DIV/0!</v>
      </c>
      <c r="F13" s="15" t="s">
        <v>2</v>
      </c>
      <c r="G13" s="24"/>
      <c r="H13" s="23" t="e">
        <f t="shared" si="2"/>
        <v>#DIV/0!</v>
      </c>
      <c r="I13" s="23" t="e">
        <f t="shared" si="3"/>
        <v>#DIV/0!</v>
      </c>
      <c r="J13" s="15" t="s">
        <v>2</v>
      </c>
      <c r="K13" s="24"/>
      <c r="L13" s="23" t="e">
        <f t="shared" si="4"/>
        <v>#DIV/0!</v>
      </c>
      <c r="M13" s="23" t="e">
        <f t="shared" si="5"/>
        <v>#DIV/0!</v>
      </c>
      <c r="N13" s="15" t="s">
        <v>2</v>
      </c>
      <c r="O13" s="24"/>
      <c r="P13" s="23" t="e">
        <f t="shared" si="6"/>
        <v>#DIV/0!</v>
      </c>
      <c r="Q13" s="38" t="e">
        <f t="shared" si="7"/>
        <v>#DIV/0!</v>
      </c>
    </row>
    <row r="14" spans="1:17" ht="30" customHeight="1" x14ac:dyDescent="0.25">
      <c r="A14" s="53" t="s">
        <v>5</v>
      </c>
      <c r="B14" s="54"/>
      <c r="C14" s="22"/>
      <c r="D14" s="23" t="e">
        <f t="shared" si="0"/>
        <v>#DIV/0!</v>
      </c>
      <c r="E14" s="23" t="e">
        <f t="shared" si="1"/>
        <v>#DIV/0!</v>
      </c>
      <c r="F14" s="15" t="s">
        <v>5</v>
      </c>
      <c r="G14" s="24"/>
      <c r="H14" s="23" t="e">
        <f t="shared" si="2"/>
        <v>#DIV/0!</v>
      </c>
      <c r="I14" s="23" t="e">
        <f t="shared" si="3"/>
        <v>#DIV/0!</v>
      </c>
      <c r="J14" s="15" t="s">
        <v>5</v>
      </c>
      <c r="K14" s="25"/>
      <c r="L14" s="23" t="e">
        <f t="shared" si="4"/>
        <v>#DIV/0!</v>
      </c>
      <c r="M14" s="23" t="e">
        <f t="shared" si="5"/>
        <v>#DIV/0!</v>
      </c>
      <c r="N14" s="15" t="s">
        <v>5</v>
      </c>
      <c r="O14" s="25"/>
      <c r="P14" s="23" t="e">
        <f t="shared" si="6"/>
        <v>#DIV/0!</v>
      </c>
      <c r="Q14" s="38" t="e">
        <f t="shared" si="7"/>
        <v>#DIV/0!</v>
      </c>
    </row>
    <row r="15" spans="1:17" ht="30" customHeight="1" x14ac:dyDescent="0.25">
      <c r="A15" s="53" t="s">
        <v>36</v>
      </c>
      <c r="B15" s="54"/>
      <c r="C15" s="22"/>
      <c r="D15" s="23" t="e">
        <f t="shared" si="0"/>
        <v>#DIV/0!</v>
      </c>
      <c r="E15" s="23" t="e">
        <f t="shared" si="1"/>
        <v>#DIV/0!</v>
      </c>
      <c r="F15" s="15" t="s">
        <v>36</v>
      </c>
      <c r="G15" s="26"/>
      <c r="H15" s="23" t="e">
        <f t="shared" si="2"/>
        <v>#DIV/0!</v>
      </c>
      <c r="I15" s="23" t="e">
        <f t="shared" si="3"/>
        <v>#DIV/0!</v>
      </c>
      <c r="J15" s="15" t="s">
        <v>36</v>
      </c>
      <c r="K15" s="24"/>
      <c r="L15" s="23" t="e">
        <f t="shared" si="4"/>
        <v>#DIV/0!</v>
      </c>
      <c r="M15" s="23" t="e">
        <f t="shared" si="5"/>
        <v>#DIV/0!</v>
      </c>
      <c r="N15" s="15" t="s">
        <v>36</v>
      </c>
      <c r="O15" s="24"/>
      <c r="P15" s="23" t="e">
        <f t="shared" si="6"/>
        <v>#DIV/0!</v>
      </c>
      <c r="Q15" s="38" t="e">
        <f t="shared" si="7"/>
        <v>#DIV/0!</v>
      </c>
    </row>
    <row r="16" spans="1:17" ht="30" customHeight="1" x14ac:dyDescent="0.25">
      <c r="A16" s="53" t="s">
        <v>37</v>
      </c>
      <c r="B16" s="54"/>
      <c r="C16" s="22"/>
      <c r="D16" s="23" t="e">
        <f t="shared" si="0"/>
        <v>#DIV/0!</v>
      </c>
      <c r="E16" s="23" t="e">
        <f t="shared" si="1"/>
        <v>#DIV/0!</v>
      </c>
      <c r="F16" s="15" t="s">
        <v>37</v>
      </c>
      <c r="G16" s="24"/>
      <c r="H16" s="23" t="e">
        <f t="shared" si="2"/>
        <v>#DIV/0!</v>
      </c>
      <c r="I16" s="23" t="e">
        <f t="shared" si="3"/>
        <v>#DIV/0!</v>
      </c>
      <c r="J16" s="15" t="s">
        <v>37</v>
      </c>
      <c r="K16" s="25"/>
      <c r="L16" s="23" t="e">
        <f t="shared" si="4"/>
        <v>#DIV/0!</v>
      </c>
      <c r="M16" s="23" t="e">
        <f t="shared" si="5"/>
        <v>#DIV/0!</v>
      </c>
      <c r="N16" s="15" t="s">
        <v>37</v>
      </c>
      <c r="O16" s="25"/>
      <c r="P16" s="23" t="e">
        <f t="shared" si="6"/>
        <v>#DIV/0!</v>
      </c>
      <c r="Q16" s="38" t="e">
        <f t="shared" si="7"/>
        <v>#DIV/0!</v>
      </c>
    </row>
    <row r="17" spans="1:17" ht="30" customHeight="1" x14ac:dyDescent="0.25">
      <c r="A17" s="53" t="s">
        <v>0</v>
      </c>
      <c r="B17" s="54"/>
      <c r="C17" s="22"/>
      <c r="D17" s="23" t="e">
        <f t="shared" si="0"/>
        <v>#DIV/0!</v>
      </c>
      <c r="E17" s="23" t="e">
        <f t="shared" si="1"/>
        <v>#DIV/0!</v>
      </c>
      <c r="F17" s="15" t="s">
        <v>0</v>
      </c>
      <c r="G17" s="26"/>
      <c r="H17" s="23" t="e">
        <f t="shared" si="2"/>
        <v>#DIV/0!</v>
      </c>
      <c r="I17" s="23" t="e">
        <f>$G17/G$32*100</f>
        <v>#DIV/0!</v>
      </c>
      <c r="J17" s="15" t="s">
        <v>0</v>
      </c>
      <c r="K17" s="24"/>
      <c r="L17" s="23" t="e">
        <f t="shared" si="4"/>
        <v>#DIV/0!</v>
      </c>
      <c r="M17" s="23" t="e">
        <f>$K17/K$32*100</f>
        <v>#DIV/0!</v>
      </c>
      <c r="N17" s="15" t="s">
        <v>0</v>
      </c>
      <c r="O17" s="24"/>
      <c r="P17" s="23" t="e">
        <f t="shared" si="6"/>
        <v>#DIV/0!</v>
      </c>
      <c r="Q17" s="38" t="e">
        <f t="shared" si="7"/>
        <v>#DIV/0!</v>
      </c>
    </row>
    <row r="18" spans="1:17" ht="30" customHeight="1" x14ac:dyDescent="0.25">
      <c r="A18" s="57" t="s">
        <v>38</v>
      </c>
      <c r="B18" s="58"/>
      <c r="C18" s="27"/>
      <c r="D18" s="28" t="e">
        <f t="shared" si="0"/>
        <v>#DIV/0!</v>
      </c>
      <c r="E18" s="35" t="e">
        <f>$C18/$C$33*100</f>
        <v>#DIV/0!</v>
      </c>
      <c r="F18" s="17" t="s">
        <v>38</v>
      </c>
      <c r="G18" s="29"/>
      <c r="H18" s="28" t="e">
        <f t="shared" si="2"/>
        <v>#DIV/0!</v>
      </c>
      <c r="I18" s="35" t="e">
        <f>$G18/G$33*100</f>
        <v>#DIV/0!</v>
      </c>
      <c r="J18" s="17" t="s">
        <v>38</v>
      </c>
      <c r="K18" s="29"/>
      <c r="L18" s="28" t="e">
        <f t="shared" si="4"/>
        <v>#DIV/0!</v>
      </c>
      <c r="M18" s="35" t="e">
        <f>K18/K$33*100</f>
        <v>#DIV/0!</v>
      </c>
      <c r="N18" s="17" t="s">
        <v>38</v>
      </c>
      <c r="O18" s="29"/>
      <c r="P18" s="28" t="e">
        <f t="shared" si="6"/>
        <v>#DIV/0!</v>
      </c>
      <c r="Q18" s="39" t="e">
        <f>O18/O$33*100</f>
        <v>#DIV/0!</v>
      </c>
    </row>
    <row r="19" spans="1:17" ht="30" customHeight="1" x14ac:dyDescent="0.25">
      <c r="A19" s="57" t="s">
        <v>39</v>
      </c>
      <c r="B19" s="58"/>
      <c r="C19" s="27"/>
      <c r="D19" s="28" t="e">
        <f t="shared" si="0"/>
        <v>#DIV/0!</v>
      </c>
      <c r="E19" s="35" t="e">
        <f>$C19/$C34*100</f>
        <v>#DIV/0!</v>
      </c>
      <c r="F19" s="17" t="s">
        <v>39</v>
      </c>
      <c r="G19" s="29"/>
      <c r="H19" s="28" t="e">
        <f t="shared" si="2"/>
        <v>#DIV/0!</v>
      </c>
      <c r="I19" s="35" t="e">
        <f>$G19/G$34*100</f>
        <v>#DIV/0!</v>
      </c>
      <c r="J19" s="17" t="s">
        <v>39</v>
      </c>
      <c r="K19" s="29"/>
      <c r="L19" s="28" t="e">
        <f t="shared" si="4"/>
        <v>#DIV/0!</v>
      </c>
      <c r="M19" s="35" t="e">
        <f>K19/K$34*100</f>
        <v>#DIV/0!</v>
      </c>
      <c r="N19" s="17" t="s">
        <v>39</v>
      </c>
      <c r="O19" s="29"/>
      <c r="P19" s="28" t="e">
        <f t="shared" si="6"/>
        <v>#DIV/0!</v>
      </c>
      <c r="Q19" s="39" t="e">
        <f>O19/O$34*100</f>
        <v>#DIV/0!</v>
      </c>
    </row>
    <row r="20" spans="1:17" ht="30" customHeight="1" x14ac:dyDescent="0.25">
      <c r="A20" s="55" t="s">
        <v>54</v>
      </c>
      <c r="B20" s="56"/>
      <c r="C20" s="22"/>
      <c r="D20" s="23" t="e">
        <f t="shared" si="0"/>
        <v>#DIV/0!</v>
      </c>
      <c r="E20" s="36" t="e">
        <f>$C20/C$35*100</f>
        <v>#DIV/0!</v>
      </c>
      <c r="F20" s="37" t="s">
        <v>55</v>
      </c>
      <c r="G20" s="24"/>
      <c r="H20" s="23" t="e">
        <f t="shared" si="2"/>
        <v>#DIV/0!</v>
      </c>
      <c r="I20" s="36" t="e">
        <f>$G20/G$35*100</f>
        <v>#DIV/0!</v>
      </c>
      <c r="J20" s="37" t="s">
        <v>55</v>
      </c>
      <c r="K20" s="24"/>
      <c r="L20" s="23" t="e">
        <f t="shared" si="4"/>
        <v>#DIV/0!</v>
      </c>
      <c r="M20" s="36" t="e">
        <f>K20/K$35*100</f>
        <v>#DIV/0!</v>
      </c>
      <c r="N20" s="37" t="s">
        <v>55</v>
      </c>
      <c r="O20" s="24"/>
      <c r="P20" s="23" t="e">
        <f t="shared" si="6"/>
        <v>#DIV/0!</v>
      </c>
      <c r="Q20" s="40" t="e">
        <f>O20/O$35*100</f>
        <v>#DIV/0!</v>
      </c>
    </row>
    <row r="21" spans="1:17" ht="30" customHeight="1" x14ac:dyDescent="0.25">
      <c r="A21" s="55"/>
      <c r="B21" s="56"/>
      <c r="C21" s="22"/>
      <c r="D21" s="23" t="e">
        <f t="shared" si="0"/>
        <v>#DIV/0!</v>
      </c>
      <c r="E21" s="23" t="e">
        <f t="shared" ref="E21:E26" si="8">$C21/$C$32*100</f>
        <v>#DIV/0!</v>
      </c>
      <c r="F21" s="15"/>
      <c r="G21" s="24"/>
      <c r="H21" s="23" t="e">
        <f t="shared" si="2"/>
        <v>#DIV/0!</v>
      </c>
      <c r="I21" s="23" t="e">
        <f t="shared" ref="I21:I26" si="9">$G21/G$32*100</f>
        <v>#DIV/0!</v>
      </c>
      <c r="J21" s="16"/>
      <c r="K21" s="24"/>
      <c r="L21" s="23" t="e">
        <f t="shared" si="4"/>
        <v>#DIV/0!</v>
      </c>
      <c r="M21" s="23" t="e">
        <f t="shared" ref="M21:M26" si="10">K21/K$32*100</f>
        <v>#DIV/0!</v>
      </c>
      <c r="N21" s="16"/>
      <c r="O21" s="24"/>
      <c r="P21" s="23" t="e">
        <f t="shared" si="6"/>
        <v>#DIV/0!</v>
      </c>
      <c r="Q21" s="38" t="e">
        <f t="shared" ref="Q21:Q26" si="11">O21/O$32*100</f>
        <v>#DIV/0!</v>
      </c>
    </row>
    <row r="22" spans="1:17" ht="30" customHeight="1" x14ac:dyDescent="0.25">
      <c r="A22" s="55"/>
      <c r="B22" s="56"/>
      <c r="C22" s="22"/>
      <c r="D22" s="23" t="e">
        <f t="shared" si="0"/>
        <v>#DIV/0!</v>
      </c>
      <c r="E22" s="23" t="e">
        <f t="shared" si="8"/>
        <v>#DIV/0!</v>
      </c>
      <c r="F22" s="15"/>
      <c r="G22" s="24"/>
      <c r="H22" s="23" t="e">
        <f t="shared" si="2"/>
        <v>#DIV/0!</v>
      </c>
      <c r="I22" s="23" t="e">
        <f t="shared" si="9"/>
        <v>#DIV/0!</v>
      </c>
      <c r="J22" s="16"/>
      <c r="K22" s="24"/>
      <c r="L22" s="23" t="e">
        <f t="shared" si="4"/>
        <v>#DIV/0!</v>
      </c>
      <c r="M22" s="23" t="e">
        <f t="shared" si="10"/>
        <v>#DIV/0!</v>
      </c>
      <c r="N22" s="16"/>
      <c r="O22" s="24"/>
      <c r="P22" s="23" t="e">
        <f t="shared" si="6"/>
        <v>#DIV/0!</v>
      </c>
      <c r="Q22" s="38" t="e">
        <f t="shared" si="11"/>
        <v>#DIV/0!</v>
      </c>
    </row>
    <row r="23" spans="1:17" ht="30" customHeight="1" x14ac:dyDescent="0.25">
      <c r="A23" s="55"/>
      <c r="B23" s="56"/>
      <c r="C23" s="22"/>
      <c r="D23" s="23" t="e">
        <f t="shared" si="0"/>
        <v>#DIV/0!</v>
      </c>
      <c r="E23" s="23" t="e">
        <f t="shared" si="8"/>
        <v>#DIV/0!</v>
      </c>
      <c r="F23" s="15"/>
      <c r="G23" s="24"/>
      <c r="H23" s="23" t="e">
        <f t="shared" si="2"/>
        <v>#DIV/0!</v>
      </c>
      <c r="I23" s="23" t="e">
        <f t="shared" si="9"/>
        <v>#DIV/0!</v>
      </c>
      <c r="J23" s="16"/>
      <c r="K23" s="24"/>
      <c r="L23" s="23" t="e">
        <f t="shared" si="4"/>
        <v>#DIV/0!</v>
      </c>
      <c r="M23" s="23" t="e">
        <f t="shared" si="10"/>
        <v>#DIV/0!</v>
      </c>
      <c r="N23" s="16"/>
      <c r="O23" s="24"/>
      <c r="P23" s="23" t="e">
        <f>$O23/$O$27*100</f>
        <v>#DIV/0!</v>
      </c>
      <c r="Q23" s="38" t="e">
        <f t="shared" si="11"/>
        <v>#DIV/0!</v>
      </c>
    </row>
    <row r="24" spans="1:17" ht="30" customHeight="1" x14ac:dyDescent="0.25">
      <c r="A24" s="55"/>
      <c r="B24" s="56"/>
      <c r="C24" s="22"/>
      <c r="D24" s="23" t="e">
        <f t="shared" si="0"/>
        <v>#DIV/0!</v>
      </c>
      <c r="E24" s="23" t="e">
        <f t="shared" si="8"/>
        <v>#DIV/0!</v>
      </c>
      <c r="F24" s="16"/>
      <c r="G24" s="24"/>
      <c r="H24" s="23" t="e">
        <f t="shared" si="2"/>
        <v>#DIV/0!</v>
      </c>
      <c r="I24" s="23" t="e">
        <f t="shared" si="9"/>
        <v>#DIV/0!</v>
      </c>
      <c r="J24" s="16"/>
      <c r="K24" s="24"/>
      <c r="L24" s="23" t="e">
        <f t="shared" si="4"/>
        <v>#DIV/0!</v>
      </c>
      <c r="M24" s="23" t="e">
        <f t="shared" si="10"/>
        <v>#DIV/0!</v>
      </c>
      <c r="N24" s="16"/>
      <c r="O24" s="24"/>
      <c r="P24" s="23" t="e">
        <f>$O24/$O$27*100</f>
        <v>#DIV/0!</v>
      </c>
      <c r="Q24" s="38" t="e">
        <f t="shared" si="11"/>
        <v>#DIV/0!</v>
      </c>
    </row>
    <row r="25" spans="1:17" ht="30" customHeight="1" x14ac:dyDescent="0.25">
      <c r="A25" s="55"/>
      <c r="B25" s="56"/>
      <c r="C25" s="22"/>
      <c r="D25" s="23" t="e">
        <f t="shared" si="0"/>
        <v>#DIV/0!</v>
      </c>
      <c r="E25" s="23" t="e">
        <f t="shared" si="8"/>
        <v>#DIV/0!</v>
      </c>
      <c r="F25" s="16"/>
      <c r="G25" s="24"/>
      <c r="H25" s="23" t="e">
        <f t="shared" si="2"/>
        <v>#DIV/0!</v>
      </c>
      <c r="I25" s="23" t="e">
        <f t="shared" si="9"/>
        <v>#DIV/0!</v>
      </c>
      <c r="J25" s="16"/>
      <c r="K25" s="24"/>
      <c r="L25" s="23" t="e">
        <f t="shared" si="4"/>
        <v>#DIV/0!</v>
      </c>
      <c r="M25" s="23" t="e">
        <f t="shared" si="10"/>
        <v>#DIV/0!</v>
      </c>
      <c r="N25" s="16"/>
      <c r="O25" s="24"/>
      <c r="P25" s="23" t="e">
        <f>$O25/$O$27*100</f>
        <v>#DIV/0!</v>
      </c>
      <c r="Q25" s="38" t="e">
        <f t="shared" si="11"/>
        <v>#DIV/0!</v>
      </c>
    </row>
    <row r="26" spans="1:17" ht="30" customHeight="1" x14ac:dyDescent="0.25">
      <c r="A26" s="55"/>
      <c r="B26" s="56"/>
      <c r="C26" s="22"/>
      <c r="D26" s="23" t="e">
        <f t="shared" si="0"/>
        <v>#DIV/0!</v>
      </c>
      <c r="E26" s="23" t="e">
        <f t="shared" si="8"/>
        <v>#DIV/0!</v>
      </c>
      <c r="F26" s="16"/>
      <c r="G26" s="24"/>
      <c r="H26" s="23" t="e">
        <f t="shared" si="2"/>
        <v>#DIV/0!</v>
      </c>
      <c r="I26" s="23" t="e">
        <f t="shared" si="9"/>
        <v>#DIV/0!</v>
      </c>
      <c r="J26" s="16"/>
      <c r="K26" s="24"/>
      <c r="L26" s="23" t="e">
        <f t="shared" si="4"/>
        <v>#DIV/0!</v>
      </c>
      <c r="M26" s="23" t="e">
        <f t="shared" si="10"/>
        <v>#DIV/0!</v>
      </c>
      <c r="N26" s="16"/>
      <c r="O26" s="24"/>
      <c r="P26" s="23" t="e">
        <f>$O26/$O$27*100</f>
        <v>#DIV/0!</v>
      </c>
      <c r="Q26" s="38" t="e">
        <f t="shared" si="11"/>
        <v>#DIV/0!</v>
      </c>
    </row>
    <row r="27" spans="1:17" s="4" customFormat="1" ht="30" customHeight="1" x14ac:dyDescent="0.25">
      <c r="A27" s="70" t="s">
        <v>3</v>
      </c>
      <c r="B27" s="71"/>
      <c r="C27" s="5">
        <f>SUM(C9:C26)</f>
        <v>0</v>
      </c>
      <c r="D27" s="3" t="e">
        <f t="shared" si="0"/>
        <v>#DIV/0!</v>
      </c>
      <c r="E27" s="3"/>
      <c r="F27" s="2" t="s">
        <v>3</v>
      </c>
      <c r="G27" s="5">
        <f>SUM(G9:G26)</f>
        <v>0</v>
      </c>
      <c r="H27" s="3" t="e">
        <f t="shared" si="2"/>
        <v>#DIV/0!</v>
      </c>
      <c r="I27" s="23"/>
      <c r="J27" s="2" t="s">
        <v>3</v>
      </c>
      <c r="K27" s="5">
        <f>SUM(K9:K26)</f>
        <v>0</v>
      </c>
      <c r="L27" s="5" t="e">
        <f t="shared" si="4"/>
        <v>#DIV/0!</v>
      </c>
      <c r="M27" s="3"/>
      <c r="N27" s="2" t="s">
        <v>3</v>
      </c>
      <c r="O27" s="5">
        <f>SUM(O9:O26)</f>
        <v>0</v>
      </c>
      <c r="P27" s="3" t="e">
        <f>$O27/$O$27*100</f>
        <v>#DIV/0!</v>
      </c>
      <c r="Q27" s="41"/>
    </row>
    <row r="28" spans="1:17" s="4" customFormat="1" ht="30" customHeight="1" x14ac:dyDescent="0.25">
      <c r="A28" s="30" t="s">
        <v>56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s="8" customFormat="1" ht="30" customHeight="1" x14ac:dyDescent="0.25">
      <c r="A29" s="68" t="s">
        <v>6</v>
      </c>
      <c r="B29" s="69"/>
      <c r="H29" s="8" t="s">
        <v>7</v>
      </c>
      <c r="N29" s="8" t="s">
        <v>8</v>
      </c>
    </row>
    <row r="32" spans="1:17" ht="29.25" customHeight="1" x14ac:dyDescent="0.25">
      <c r="A32" s="42" t="s">
        <v>25</v>
      </c>
      <c r="B32" s="43"/>
      <c r="C32" s="31"/>
      <c r="F32" s="32" t="s">
        <v>24</v>
      </c>
      <c r="G32" s="33"/>
      <c r="J32" s="32" t="s">
        <v>24</v>
      </c>
      <c r="K32" s="33"/>
      <c r="N32" s="32" t="s">
        <v>24</v>
      </c>
      <c r="O32" s="33"/>
    </row>
    <row r="33" spans="1:17" s="12" customFormat="1" ht="29.25" customHeight="1" x14ac:dyDescent="0.25">
      <c r="A33" s="42" t="s">
        <v>50</v>
      </c>
      <c r="B33" s="43"/>
      <c r="C33" s="31"/>
      <c r="D33" s="9"/>
      <c r="E33" s="11"/>
      <c r="F33" s="32" t="s">
        <v>50</v>
      </c>
      <c r="G33" s="33"/>
      <c r="H33" s="9"/>
      <c r="I33" s="9"/>
      <c r="J33" s="32" t="s">
        <v>50</v>
      </c>
      <c r="K33" s="33"/>
      <c r="L33" s="11"/>
      <c r="M33" s="9"/>
      <c r="N33" s="32" t="s">
        <v>50</v>
      </c>
      <c r="O33" s="33"/>
      <c r="P33" s="9"/>
      <c r="Q33" s="9"/>
    </row>
    <row r="34" spans="1:17" ht="29.25" customHeight="1" x14ac:dyDescent="0.25">
      <c r="A34" s="42" t="s">
        <v>44</v>
      </c>
      <c r="B34" s="43"/>
      <c r="C34" s="31"/>
      <c r="F34" s="32" t="s">
        <v>47</v>
      </c>
      <c r="G34" s="33"/>
      <c r="J34" s="32" t="s">
        <v>44</v>
      </c>
      <c r="K34" s="33"/>
      <c r="N34" s="32" t="s">
        <v>48</v>
      </c>
      <c r="O34" s="33"/>
    </row>
    <row r="35" spans="1:17" ht="29.25" customHeight="1" x14ac:dyDescent="0.25">
      <c r="A35" s="42" t="s">
        <v>51</v>
      </c>
      <c r="B35" s="43"/>
      <c r="C35" s="31"/>
      <c r="F35" s="32" t="s">
        <v>52</v>
      </c>
      <c r="G35" s="33"/>
      <c r="J35" s="32" t="s">
        <v>53</v>
      </c>
      <c r="K35" s="33"/>
      <c r="N35" s="32" t="s">
        <v>52</v>
      </c>
      <c r="O35" s="33"/>
    </row>
    <row r="36" spans="1:17" x14ac:dyDescent="0.25">
      <c r="C36" s="13"/>
    </row>
  </sheetData>
  <mergeCells count="44">
    <mergeCell ref="A1:E2"/>
    <mergeCell ref="F1:F2"/>
    <mergeCell ref="G1:L2"/>
    <mergeCell ref="M1:N1"/>
    <mergeCell ref="O1:Q1"/>
    <mergeCell ref="M2:N2"/>
    <mergeCell ref="O2:Q2"/>
    <mergeCell ref="A3:E4"/>
    <mergeCell ref="F3:F4"/>
    <mergeCell ref="G3:L4"/>
    <mergeCell ref="M3:N3"/>
    <mergeCell ref="O3:Q3"/>
    <mergeCell ref="M4:N4"/>
    <mergeCell ref="O4:Q4"/>
    <mergeCell ref="A14:B14"/>
    <mergeCell ref="A6:Q6"/>
    <mergeCell ref="A7:E7"/>
    <mergeCell ref="F7:I7"/>
    <mergeCell ref="J7:M7"/>
    <mergeCell ref="N7:Q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5:B35"/>
    <mergeCell ref="A27:B27"/>
    <mergeCell ref="A29:B29"/>
    <mergeCell ref="A32:B32"/>
    <mergeCell ref="A33:B33"/>
    <mergeCell ref="A34:B34"/>
  </mergeCells>
  <phoneticPr fontId="1" type="noConversion"/>
  <printOptions horizontalCentered="1"/>
  <pageMargins left="0" right="0" top="0" bottom="0.19685039370078741" header="0" footer="0.11811023622047245"/>
  <pageSetup paperSize="9"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範例版-四年異常比較表</vt:lpstr>
      <vt:lpstr>填寫版-四年異常比較表</vt:lpstr>
      <vt:lpstr>'填寫版-四年異常比較表'!Print_Area</vt:lpstr>
      <vt:lpstr>'範例版-四年異常比較表'!Print_Area</vt:lpstr>
    </vt:vector>
  </TitlesOfParts>
  <Company>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user</cp:lastModifiedBy>
  <cp:lastPrinted>2024-01-05T03:20:48Z</cp:lastPrinted>
  <dcterms:created xsi:type="dcterms:W3CDTF">2003-12-24T04:16:19Z</dcterms:created>
  <dcterms:modified xsi:type="dcterms:W3CDTF">2024-11-14T08:35:20Z</dcterms:modified>
</cp:coreProperties>
</file>