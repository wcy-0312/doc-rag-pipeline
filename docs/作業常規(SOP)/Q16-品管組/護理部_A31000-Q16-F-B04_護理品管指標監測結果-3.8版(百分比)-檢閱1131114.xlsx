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護理部業務資料\1.品管組\3.品管組-106至今\13品管標準化文件及表單\標準化文件-表單\"/>
    </mc:Choice>
  </mc:AlternateContent>
  <bookViews>
    <workbookView xWindow="-15" yWindow="-15" windowWidth="15390" windowHeight="4050" activeTab="1"/>
  </bookViews>
  <sheets>
    <sheet name="護理品管指標監測結果" sheetId="8" r:id="rId1"/>
    <sheet name="護理品管指標監測結果 (單次)" sheetId="11" r:id="rId2"/>
  </sheets>
  <definedNames>
    <definedName name="OLE_LINK1" localSheetId="0">護理品管指標監測結果!$G$6</definedName>
    <definedName name="_xlnm.Print_Area" localSheetId="0">護理品管指標監測結果!$A$1:$N$32</definedName>
  </definedNames>
  <calcPr calcId="152511"/>
</workbook>
</file>

<file path=xl/calcChain.xml><?xml version="1.0" encoding="utf-8"?>
<calcChain xmlns="http://schemas.openxmlformats.org/spreadsheetml/2006/main">
  <c r="D23" i="8" l="1"/>
  <c r="C23" i="8"/>
  <c r="E14" i="8"/>
  <c r="D22" i="8"/>
  <c r="C22" i="8"/>
  <c r="D18" i="8"/>
  <c r="C18" i="8"/>
  <c r="D14" i="8"/>
  <c r="C14" i="8"/>
  <c r="D10" i="8"/>
  <c r="C10" i="8"/>
  <c r="E10" i="8" s="1"/>
  <c r="G22" i="11" l="1"/>
  <c r="G21" i="11"/>
  <c r="G20" i="11"/>
  <c r="G19" i="11"/>
  <c r="G18" i="11"/>
  <c r="G17" i="11"/>
  <c r="G16" i="11"/>
  <c r="G15" i="11"/>
  <c r="G14" i="11"/>
  <c r="G13" i="11"/>
  <c r="G12" i="11"/>
  <c r="G11" i="11"/>
  <c r="G8" i="11"/>
  <c r="G9" i="11"/>
  <c r="G10" i="11"/>
  <c r="G7" i="11"/>
  <c r="E20" i="8" l="1"/>
  <c r="E21" i="8"/>
  <c r="E22" i="8"/>
  <c r="E19" i="8"/>
  <c r="E16" i="8"/>
  <c r="E17" i="8"/>
  <c r="E18" i="8"/>
  <c r="E15" i="8"/>
  <c r="E12" i="8"/>
  <c r="E13" i="8"/>
  <c r="E11" i="8"/>
  <c r="E8" i="8"/>
  <c r="E9" i="8"/>
  <c r="E7" i="8"/>
  <c r="E23" i="8" l="1"/>
</calcChain>
</file>

<file path=xl/sharedStrings.xml><?xml version="1.0" encoding="utf-8"?>
<sst xmlns="http://schemas.openxmlformats.org/spreadsheetml/2006/main" count="118" uniqueCount="59">
  <si>
    <t>1/1</t>
    <phoneticPr fontId="1" type="noConversion"/>
  </si>
  <si>
    <r>
      <rPr>
        <sz val="14"/>
        <rFont val="標楷體"/>
        <family val="4"/>
        <charset val="136"/>
      </rPr>
      <t>護理部</t>
    </r>
  </si>
  <si>
    <t>品管指標監測項目：</t>
    <phoneticPr fontId="1" type="noConversion"/>
  </si>
  <si>
    <t>目標值：</t>
    <phoneticPr fontId="1" type="noConversion"/>
  </si>
  <si>
    <t>月份</t>
    <phoneticPr fontId="1" type="noConversion"/>
  </si>
  <si>
    <t>說明</t>
    <phoneticPr fontId="1" type="noConversion"/>
  </si>
  <si>
    <t>處理對策</t>
    <phoneticPr fontId="1" type="noConversion"/>
  </si>
  <si>
    <t>督導
簽章</t>
    <phoneticPr fontId="1" type="noConversion"/>
  </si>
  <si>
    <t>□達目標值
□未達目標值</t>
    <phoneticPr fontId="1" type="noConversion"/>
  </si>
  <si>
    <t>護理長
簽章</t>
    <phoneticPr fontId="1" type="noConversion"/>
  </si>
  <si>
    <t>備註：未達目標值須填寫「說明」及「處理對策」，達目標值則不須填寫。</t>
    <phoneticPr fontId="1" type="noConversion"/>
  </si>
  <si>
    <t>護理品管指標監測結果</t>
    <phoneticPr fontId="1" type="noConversion"/>
  </si>
  <si>
    <t>A31000-Q16-F-B04</t>
    <phoneticPr fontId="1" type="noConversion"/>
  </si>
  <si>
    <r>
      <rPr>
        <b/>
        <sz val="14"/>
        <color indexed="8"/>
        <rFont val="標楷體"/>
        <family val="4"/>
        <charset val="136"/>
      </rPr>
      <t>名稱</t>
    </r>
  </si>
  <si>
    <r>
      <rPr>
        <b/>
        <sz val="14"/>
        <rFont val="標楷體"/>
        <family val="4"/>
        <charset val="136"/>
      </rPr>
      <t>編</t>
    </r>
    <r>
      <rPr>
        <b/>
        <sz val="14"/>
        <rFont val="Times New Roman"/>
        <family val="1"/>
      </rPr>
      <t xml:space="preserve"> </t>
    </r>
    <r>
      <rPr>
        <b/>
        <sz val="14"/>
        <rFont val="標楷體"/>
        <family val="4"/>
        <charset val="136"/>
      </rPr>
      <t>號</t>
    </r>
  </si>
  <si>
    <r>
      <rPr>
        <b/>
        <sz val="14"/>
        <color indexed="8"/>
        <rFont val="標楷體"/>
        <family val="4"/>
        <charset val="136"/>
      </rPr>
      <t>版</t>
    </r>
    <r>
      <rPr>
        <b/>
        <sz val="14"/>
        <color indexed="8"/>
        <rFont val="Times New Roman"/>
        <family val="1"/>
      </rPr>
      <t xml:space="preserve"> </t>
    </r>
    <r>
      <rPr>
        <b/>
        <sz val="14"/>
        <color indexed="8"/>
        <rFont val="標楷體"/>
        <family val="4"/>
        <charset val="136"/>
      </rPr>
      <t>本</t>
    </r>
  </si>
  <si>
    <r>
      <rPr>
        <b/>
        <sz val="14"/>
        <color indexed="8"/>
        <rFont val="標楷體"/>
        <family val="4"/>
        <charset val="136"/>
      </rPr>
      <t>制定單位</t>
    </r>
    <phoneticPr fontId="1" type="noConversion"/>
  </si>
  <si>
    <r>
      <rPr>
        <b/>
        <sz val="14"/>
        <color indexed="8"/>
        <rFont val="標楷體"/>
        <family val="4"/>
        <charset val="136"/>
      </rPr>
      <t>修正日期</t>
    </r>
  </si>
  <si>
    <r>
      <rPr>
        <b/>
        <sz val="14"/>
        <color indexed="8"/>
        <rFont val="標楷體"/>
        <family val="4"/>
        <charset val="136"/>
      </rPr>
      <t>頁數</t>
    </r>
    <r>
      <rPr>
        <b/>
        <sz val="14"/>
        <color indexed="8"/>
        <rFont val="Times New Roman"/>
        <family val="1"/>
      </rPr>
      <t>/</t>
    </r>
    <r>
      <rPr>
        <b/>
        <sz val="14"/>
        <color indexed="8"/>
        <rFont val="標楷體"/>
        <family val="4"/>
        <charset val="136"/>
      </rPr>
      <t>總頁數</t>
    </r>
  </si>
  <si>
    <t>尖銳物品處理正確率</t>
    <phoneticPr fontId="1" type="noConversion"/>
  </si>
  <si>
    <r>
      <t>單位：</t>
    </r>
    <r>
      <rPr>
        <b/>
        <sz val="16"/>
        <color indexed="10"/>
        <rFont val="Times New Roman"/>
        <family val="1"/>
      </rPr>
      <t>N11</t>
    </r>
    <phoneticPr fontId="1" type="noConversion"/>
  </si>
  <si>
    <t>護理長：</t>
    <phoneticPr fontId="1" type="noConversion"/>
  </si>
  <si>
    <t>直屬督導：</t>
    <phoneticPr fontId="1" type="noConversion"/>
  </si>
  <si>
    <t>2/2</t>
    <phoneticPr fontId="1" type="noConversion"/>
  </si>
  <si>
    <t>年度</t>
    <phoneticPr fontId="1" type="noConversion"/>
  </si>
  <si>
    <t>1/2</t>
    <phoneticPr fontId="1" type="noConversion"/>
  </si>
  <si>
    <r>
      <rPr>
        <b/>
        <sz val="14"/>
        <rFont val="標楷體"/>
        <family val="4"/>
        <charset val="136"/>
      </rPr>
      <t>中山醫學大學附設醫院</t>
    </r>
    <phoneticPr fontId="1" type="noConversion"/>
  </si>
  <si>
    <t>Chung Shan Medical University Hospital</t>
    <phoneticPr fontId="1" type="noConversion"/>
  </si>
  <si>
    <r>
      <rPr>
        <b/>
        <sz val="16"/>
        <color indexed="10"/>
        <rFont val="新細明體"/>
        <family val="1"/>
        <charset val="136"/>
      </rPr>
      <t>≧</t>
    </r>
    <r>
      <rPr>
        <b/>
        <sz val="16"/>
        <color indexed="10"/>
        <rFont val="Times New Roman"/>
        <family val="1"/>
      </rPr>
      <t>90‰</t>
    </r>
    <phoneticPr fontId="1" type="noConversion"/>
  </si>
  <si>
    <t>‰</t>
  </si>
  <si>
    <t>Q1</t>
    <phoneticPr fontId="1" type="noConversion"/>
  </si>
  <si>
    <t>季別</t>
    <phoneticPr fontId="1" type="noConversion"/>
  </si>
  <si>
    <t>合計</t>
    <phoneticPr fontId="1" type="noConversion"/>
  </si>
  <si>
    <t>Q4</t>
    <phoneticPr fontId="1" type="noConversion"/>
  </si>
  <si>
    <t>Q3</t>
    <phoneticPr fontId="1" type="noConversion"/>
  </si>
  <si>
    <t>Q2</t>
    <phoneticPr fontId="1" type="noConversion"/>
  </si>
  <si>
    <r>
      <rPr>
        <sz val="14"/>
        <rFont val="標楷體"/>
        <family val="4"/>
        <charset val="136"/>
      </rPr>
      <t>第</t>
    </r>
    <r>
      <rPr>
        <sz val="14"/>
        <rFont val="Times New Roman"/>
        <family val="1"/>
      </rPr>
      <t>3.8</t>
    </r>
    <r>
      <rPr>
        <sz val="14"/>
        <rFont val="標楷體"/>
        <family val="4"/>
        <charset val="136"/>
      </rPr>
      <t>版</t>
    </r>
    <phoneticPr fontId="1" type="noConversion"/>
  </si>
  <si>
    <r>
      <t>112</t>
    </r>
    <r>
      <rPr>
        <sz val="14"/>
        <rFont val="標楷體"/>
        <family val="4"/>
        <charset val="136"/>
      </rPr>
      <t>年</t>
    </r>
    <r>
      <rPr>
        <sz val="14"/>
        <rFont val="Times New Roman"/>
        <family val="1"/>
      </rPr>
      <t>11</t>
    </r>
    <r>
      <rPr>
        <sz val="14"/>
        <rFont val="標楷體"/>
        <family val="4"/>
        <charset val="136"/>
      </rPr>
      <t>月</t>
    </r>
    <r>
      <rPr>
        <sz val="14"/>
        <rFont val="Times New Roman"/>
        <family val="1"/>
      </rPr>
      <t>01</t>
    </r>
    <r>
      <rPr>
        <sz val="14"/>
        <rFont val="標楷體"/>
        <family val="4"/>
        <charset val="136"/>
      </rPr>
      <t>日</t>
    </r>
    <phoneticPr fontId="1" type="noConversion"/>
  </si>
  <si>
    <t>分子</t>
    <phoneticPr fontId="1" type="noConversion"/>
  </si>
  <si>
    <t>分母</t>
    <phoneticPr fontId="1" type="noConversion"/>
  </si>
  <si>
    <t>比率</t>
    <phoneticPr fontId="1" type="noConversion"/>
  </si>
  <si>
    <t>年度：</t>
    <phoneticPr fontId="1" type="noConversion"/>
  </si>
  <si>
    <r>
      <rPr>
        <b/>
        <sz val="16"/>
        <color rgb="FFFF0000"/>
        <rFont val="Times New Roman"/>
        <family val="1"/>
      </rPr>
      <t>xxx</t>
    </r>
    <r>
      <rPr>
        <b/>
        <sz val="16"/>
        <rFont val="標楷體"/>
        <family val="4"/>
        <charset val="136"/>
      </rPr>
      <t>年</t>
    </r>
    <phoneticPr fontId="1" type="noConversion"/>
  </si>
  <si>
    <r>
      <rPr>
        <b/>
        <sz val="16"/>
        <color rgb="FFFF0000"/>
        <rFont val="標楷體"/>
        <family val="4"/>
        <charset val="136"/>
      </rPr>
      <t>xxx</t>
    </r>
    <r>
      <rPr>
        <b/>
        <sz val="16"/>
        <rFont val="標楷體"/>
        <family val="4"/>
        <charset val="136"/>
      </rPr>
      <t>年</t>
    </r>
    <phoneticPr fontId="1" type="noConversion"/>
  </si>
  <si>
    <r>
      <rPr>
        <b/>
        <sz val="16"/>
        <color indexed="10"/>
        <rFont val="新細明體"/>
        <family val="1"/>
        <charset val="136"/>
      </rPr>
      <t>≧</t>
    </r>
    <r>
      <rPr>
        <b/>
        <sz val="16"/>
        <color indexed="10"/>
        <rFont val="Times New Roman"/>
        <family val="1"/>
      </rPr>
      <t>90</t>
    </r>
    <r>
      <rPr>
        <b/>
        <sz val="16"/>
        <color indexed="10"/>
        <rFont val="Lucida Sans Unicode"/>
        <family val="2"/>
      </rPr>
      <t>%</t>
    </r>
    <phoneticPr fontId="1" type="noConversion"/>
  </si>
  <si>
    <t>季評值</t>
    <phoneticPr fontId="1" type="noConversion"/>
  </si>
  <si>
    <t>護理品管指標監測結果</t>
    <phoneticPr fontId="1" type="noConversion"/>
  </si>
  <si>
    <r>
      <rPr>
        <b/>
        <sz val="14"/>
        <color indexed="8"/>
        <rFont val="標楷體"/>
        <family val="4"/>
        <charset val="136"/>
      </rPr>
      <t>制定單位</t>
    </r>
    <phoneticPr fontId="1" type="noConversion"/>
  </si>
  <si>
    <r>
      <t>112</t>
    </r>
    <r>
      <rPr>
        <sz val="14"/>
        <rFont val="標楷體"/>
        <family val="4"/>
        <charset val="136"/>
      </rPr>
      <t>年</t>
    </r>
    <r>
      <rPr>
        <sz val="14"/>
        <rFont val="Times New Roman"/>
        <family val="1"/>
      </rPr>
      <t>11</t>
    </r>
    <r>
      <rPr>
        <sz val="14"/>
        <rFont val="標楷體"/>
        <family val="4"/>
        <charset val="136"/>
      </rPr>
      <t>月</t>
    </r>
    <r>
      <rPr>
        <sz val="14"/>
        <rFont val="Times New Roman"/>
        <family val="1"/>
      </rPr>
      <t>01</t>
    </r>
    <r>
      <rPr>
        <sz val="14"/>
        <rFont val="標楷體"/>
        <family val="4"/>
        <charset val="136"/>
      </rPr>
      <t>日</t>
    </r>
    <phoneticPr fontId="1" type="noConversion"/>
  </si>
  <si>
    <t>xxx</t>
    <phoneticPr fontId="1" type="noConversion"/>
  </si>
  <si>
    <t>年</t>
  </si>
  <si>
    <t>單位：</t>
  </si>
  <si>
    <t>N11</t>
    <phoneticPr fontId="1" type="noConversion"/>
  </si>
  <si>
    <t>品管指標
監測項目</t>
    <phoneticPr fontId="1" type="noConversion"/>
  </si>
  <si>
    <t>目標值</t>
    <phoneticPr fontId="1" type="noConversion"/>
  </si>
  <si>
    <t>分母</t>
  </si>
  <si>
    <t>比率</t>
  </si>
  <si>
    <t>達成狀態</t>
    <phoneticPr fontId="1" type="noConversion"/>
  </si>
  <si>
    <t>□達目標值
□未達目標值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</si>
</sst>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2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標楷體"/>
      <family val="4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6"/>
      <name val="標楷體"/>
      <family val="4"/>
      <charset val="136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10"/>
      <name val="新細明體"/>
      <family val="1"/>
      <charset val="136"/>
    </font>
    <font>
      <b/>
      <sz val="16"/>
      <color indexed="10"/>
      <name val="Times New Roman"/>
      <family val="1"/>
    </font>
    <font>
      <sz val="24"/>
      <name val="標楷體"/>
      <family val="4"/>
      <charset val="136"/>
    </font>
    <font>
      <sz val="24"/>
      <name val="新細明體"/>
      <family val="1"/>
      <charset val="136"/>
    </font>
    <font>
      <b/>
      <sz val="16"/>
      <color indexed="10"/>
      <name val="Lucida Sans Unicode"/>
      <family val="2"/>
    </font>
    <font>
      <b/>
      <sz val="16"/>
      <color rgb="FFFF0000"/>
      <name val="標楷體"/>
      <family val="4"/>
      <charset val="136"/>
    </font>
    <font>
      <b/>
      <sz val="16"/>
      <color rgb="FFFF0000"/>
      <name val="Times New Roman"/>
      <family val="1"/>
    </font>
    <font>
      <b/>
      <sz val="22"/>
      <color rgb="FFFF0000"/>
      <name val="Times New Roman"/>
      <family val="1"/>
    </font>
    <font>
      <b/>
      <sz val="16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Border="1" applyAlignment="1">
      <alignment wrapText="1"/>
    </xf>
    <xf numFmtId="0" fontId="8" fillId="0" borderId="0" xfId="0" applyFont="1" applyBorder="1" applyAlignment="1">
      <alignment horizontal="left" vertical="top" wrapText="1"/>
    </xf>
    <xf numFmtId="0" fontId="9" fillId="0" borderId="0" xfId="0" applyFont="1"/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5" fillId="0" borderId="4" xfId="0" applyFont="1" applyBorder="1" applyAlignment="1">
      <alignment horizontal="left" vertical="center"/>
    </xf>
    <xf numFmtId="176" fontId="10" fillId="0" borderId="1" xfId="0" applyNumberFormat="1" applyFont="1" applyFill="1" applyBorder="1" applyAlignment="1">
      <alignment horizontal="center" vertical="center" wrapText="1"/>
    </xf>
    <xf numFmtId="176" fontId="10" fillId="0" borderId="7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30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10" fillId="0" borderId="1" xfId="0" applyFont="1" applyBorder="1" applyAlignment="1">
      <alignment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76" fontId="10" fillId="2" borderId="1" xfId="0" applyNumberFormat="1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10" fontId="11" fillId="0" borderId="9" xfId="0" applyNumberFormat="1" applyFont="1" applyBorder="1" applyAlignment="1">
      <alignment horizontal="left" vertical="center" wrapText="1"/>
    </xf>
    <xf numFmtId="10" fontId="11" fillId="0" borderId="10" xfId="0" applyNumberFormat="1" applyFont="1" applyBorder="1" applyAlignment="1">
      <alignment horizontal="left" vertical="center" wrapText="1"/>
    </xf>
    <xf numFmtId="10" fontId="11" fillId="0" borderId="11" xfId="0" applyNumberFormat="1" applyFont="1" applyBorder="1" applyAlignment="1">
      <alignment horizontal="left" vertical="center" wrapText="1"/>
    </xf>
    <xf numFmtId="10" fontId="11" fillId="0" borderId="12" xfId="0" applyNumberFormat="1" applyFont="1" applyBorder="1" applyAlignment="1">
      <alignment horizontal="left" vertical="center" wrapText="1"/>
    </xf>
    <xf numFmtId="10" fontId="11" fillId="0" borderId="13" xfId="0" applyNumberFormat="1" applyFont="1" applyBorder="1" applyAlignment="1">
      <alignment horizontal="left" vertical="center" wrapText="1"/>
    </xf>
    <xf numFmtId="10" fontId="11" fillId="0" borderId="15" xfId="0" applyNumberFormat="1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/>
    </xf>
    <xf numFmtId="0" fontId="12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wrapText="1"/>
    </xf>
    <xf numFmtId="0" fontId="12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wrapText="1"/>
    </xf>
    <xf numFmtId="0" fontId="5" fillId="0" borderId="4" xfId="0" applyFont="1" applyBorder="1" applyAlignment="1">
      <alignment horizontal="left" vertical="center"/>
    </xf>
    <xf numFmtId="0" fontId="0" fillId="0" borderId="4" xfId="0" applyBorder="1" applyAlignment="1"/>
    <xf numFmtId="0" fontId="4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 applyProtection="1">
      <alignment horizontal="center" vertical="center" wrapText="1"/>
      <protection locked="0"/>
    </xf>
    <xf numFmtId="0" fontId="8" fillId="0" borderId="18" xfId="0" applyFont="1" applyBorder="1" applyAlignment="1" applyProtection="1">
      <alignment horizontal="center" vertical="center" wrapText="1"/>
      <protection locked="0"/>
    </xf>
    <xf numFmtId="49" fontId="13" fillId="0" borderId="17" xfId="0" applyNumberFormat="1" applyFont="1" applyBorder="1" applyAlignment="1">
      <alignment horizontal="center" vertical="center" wrapText="1"/>
    </xf>
    <xf numFmtId="49" fontId="8" fillId="0" borderId="18" xfId="0" applyNumberFormat="1" applyFont="1" applyBorder="1" applyAlignment="1">
      <alignment wrapText="1"/>
    </xf>
    <xf numFmtId="0" fontId="10" fillId="0" borderId="2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10" fontId="11" fillId="0" borderId="25" xfId="0" applyNumberFormat="1" applyFont="1" applyBorder="1" applyAlignment="1">
      <alignment horizontal="left" vertical="center" wrapText="1"/>
    </xf>
    <xf numFmtId="10" fontId="11" fillId="0" borderId="26" xfId="0" applyNumberFormat="1" applyFont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wrapText="1"/>
    </xf>
    <xf numFmtId="0" fontId="8" fillId="0" borderId="18" xfId="0" applyFont="1" applyBorder="1" applyAlignment="1" applyProtection="1">
      <alignment wrapText="1"/>
      <protection locked="0"/>
    </xf>
    <xf numFmtId="0" fontId="7" fillId="0" borderId="0" xfId="0" applyFont="1" applyAlignment="1">
      <alignment horizontal="center" wrapText="1"/>
    </xf>
    <xf numFmtId="10" fontId="11" fillId="0" borderId="7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8" fillId="0" borderId="4" xfId="0" applyFont="1" applyBorder="1" applyAlignment="1"/>
    <xf numFmtId="0" fontId="8" fillId="0" borderId="14" xfId="0" applyFont="1" applyBorder="1" applyAlignment="1"/>
    <xf numFmtId="0" fontId="8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>
                <a:solidFill>
                  <a:srgbClr val="FF0000"/>
                </a:solidFill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xxx</a:t>
            </a:r>
            <a:r>
              <a:rPr lang="zh-TW" altLang="en-US"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年</a:t>
            </a:r>
            <a:r>
              <a:rPr lang="en-US" altLang="zh-TW"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1-12</a:t>
            </a:r>
            <a:r>
              <a:rPr lang="zh-TW" altLang="en-US"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月</a:t>
            </a:r>
            <a:r>
              <a:rPr lang="zh-TW" altLang="en-US">
                <a:solidFill>
                  <a:srgbClr val="FF0000"/>
                </a:solidFill>
                <a:latin typeface="標楷體" pitchFamily="65" charset="-120"/>
                <a:ea typeface="標楷體" pitchFamily="65" charset="-120"/>
              </a:rPr>
              <a:t>尖銳物品處理正確率</a:t>
            </a:r>
          </a:p>
        </c:rich>
      </c:tx>
      <c:layout>
        <c:manualLayout>
          <c:xMode val="edge"/>
          <c:yMode val="edge"/>
          <c:x val="0.34939864318869446"/>
          <c:y val="3.83152401807762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069337053589"/>
          <c:y val="0.14647879998496324"/>
          <c:w val="0.79409837557190499"/>
          <c:h val="0.71865106354708597"/>
        </c:manualLayout>
      </c:layout>
      <c:lineChart>
        <c:grouping val="stacked"/>
        <c:varyColors val="0"/>
        <c:ser>
          <c:idx val="1"/>
          <c:order val="0"/>
          <c:val>
            <c:numRef>
              <c:f>(護理品管指標監測結果!$E$7:$E$9,護理品管指標監測結果!$E$11:$E$13,護理品管指標監測結果!$E$15:$E$17,護理品管指標監測結果!$E$19:$E$21)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marker val="1"/>
        <c:smooth val="0"/>
        <c:axId val="174286336"/>
        <c:axId val="125364200"/>
      </c:lineChart>
      <c:catAx>
        <c:axId val="174286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/>
                </a:pPr>
                <a:r>
                  <a:rPr lang="zh-TW" altLang="en-US" sz="2000">
                    <a:latin typeface="標楷體" pitchFamily="65" charset="-120"/>
                    <a:ea typeface="標楷體" pitchFamily="65" charset="-120"/>
                  </a:rPr>
                  <a:t>月份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2000">
                <a:latin typeface="Times New Roman" pitchFamily="18" charset="0"/>
                <a:ea typeface="標楷體" pitchFamily="65" charset="-120"/>
                <a:cs typeface="Times New Roman" pitchFamily="18" charset="0"/>
              </a:defRPr>
            </a:pPr>
            <a:endParaRPr lang="zh-TW"/>
          </a:p>
        </c:txPr>
        <c:crossAx val="125364200"/>
        <c:crosses val="autoZero"/>
        <c:auto val="1"/>
        <c:lblAlgn val="ctr"/>
        <c:lblOffset val="100"/>
        <c:noMultiLvlLbl val="0"/>
      </c:catAx>
      <c:valAx>
        <c:axId val="125364200"/>
        <c:scaling>
          <c:orientation val="minMax"/>
        </c:scaling>
        <c:delete val="0"/>
        <c:axPos val="l"/>
        <c:majorGridlines/>
        <c:title>
          <c:tx>
            <c:rich>
              <a:bodyPr rot="0" vert="eaVert"/>
              <a:lstStyle/>
              <a:p>
                <a:pPr>
                  <a:defRPr>
                    <a:latin typeface="標楷體" pitchFamily="65" charset="-120"/>
                    <a:ea typeface="標楷體" pitchFamily="65" charset="-120"/>
                  </a:defRPr>
                </a:pPr>
                <a:r>
                  <a:rPr lang="zh-TW" altLang="en-US">
                    <a:latin typeface="標楷體" pitchFamily="65" charset="-120"/>
                    <a:ea typeface="標楷體" pitchFamily="65" charset="-120"/>
                  </a:rPr>
                  <a:t>百</a:t>
                </a:r>
                <a:r>
                  <a:rPr lang="zh-TW">
                    <a:latin typeface="標楷體" pitchFamily="65" charset="-120"/>
                    <a:ea typeface="標楷體" pitchFamily="65" charset="-120"/>
                  </a:rPr>
                  <a:t>分比</a:t>
                </a:r>
              </a:p>
            </c:rich>
          </c:tx>
          <c:layout>
            <c:manualLayout>
              <c:xMode val="edge"/>
              <c:yMode val="edge"/>
              <c:x val="2.7386791448205015E-2"/>
              <c:y val="0.4374834210812405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_);[Red]\(#,##0.00\)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742863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chemeClr val="bg1"/>
    </a:solidFill>
    <a:ln w="28575">
      <a:solidFill>
        <a:schemeClr val="tx1"/>
      </a:solidFill>
      <a:prstDash val="solid"/>
    </a:ln>
  </c:spPr>
  <c:txPr>
    <a:bodyPr/>
    <a:lstStyle/>
    <a:p>
      <a:pPr>
        <a:defRPr sz="2400"/>
      </a:pPr>
      <a:endParaRPr lang="zh-TW"/>
    </a:p>
  </c:txPr>
  <c:printSettings>
    <c:headerFooter/>
    <c:pageMargins b="0.75" l="0.7" r="0.7" t="0.75" header="0.3" footer="0.3"/>
    <c:pageSetup paperSize="9" orientation="landscape" horizontalDpi="-2" verticalDpi="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29</xdr:row>
      <xdr:rowOff>171450</xdr:rowOff>
    </xdr:from>
    <xdr:to>
      <xdr:col>13</xdr:col>
      <xdr:colOff>600075</xdr:colOff>
      <xdr:row>30</xdr:row>
      <xdr:rowOff>5162550</xdr:rowOff>
    </xdr:to>
    <xdr:graphicFrame macro="">
      <xdr:nvGraphicFramePr>
        <xdr:cNvPr id="113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986520</xdr:colOff>
      <xdr:row>8</xdr:row>
      <xdr:rowOff>310696</xdr:rowOff>
    </xdr:from>
    <xdr:to>
      <xdr:col>8</xdr:col>
      <xdr:colOff>809625</xdr:colOff>
      <xdr:row>10</xdr:row>
      <xdr:rowOff>79375</xdr:rowOff>
    </xdr:to>
    <xdr:sp macro="" textlink="">
      <xdr:nvSpPr>
        <xdr:cNvPr id="4" name="圓角矩形圖說文字 3"/>
        <xdr:cNvSpPr/>
      </xdr:nvSpPr>
      <xdr:spPr>
        <a:xfrm>
          <a:off x="3780520" y="3041196"/>
          <a:ext cx="3220355" cy="911679"/>
        </a:xfrm>
        <a:prstGeom prst="wedgeRoundRectCallout">
          <a:avLst>
            <a:gd name="adj1" fmla="val -49349"/>
            <a:gd name="adj2" fmla="val -63464"/>
            <a:gd name="adj3" fmla="val 16667"/>
          </a:avLst>
        </a:prstGeom>
        <a:solidFill>
          <a:schemeClr val="accent6">
            <a:lumMod val="5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lnSpc>
              <a:spcPts val="1900"/>
            </a:lnSpc>
          </a:pPr>
          <a:r>
            <a:rPr lang="en-US" altLang="zh-TW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1.</a:t>
          </a:r>
          <a:r>
            <a:rPr lang="zh-TW" altLang="en-US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此處有設定公式</a:t>
          </a:r>
          <a:endParaRPr lang="en-US" altLang="zh-TW" sz="20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indent="0" algn="l">
            <a:lnSpc>
              <a:spcPts val="1900"/>
            </a:lnSpc>
          </a:pPr>
          <a:r>
            <a:rPr lang="en-US" altLang="zh-TW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修改後刪除此說明</a:t>
          </a:r>
          <a:endParaRPr lang="zh-TW" sz="20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508000</xdr:colOff>
      <xdr:row>11</xdr:row>
      <xdr:rowOff>131533</xdr:rowOff>
    </xdr:from>
    <xdr:to>
      <xdr:col>12</xdr:col>
      <xdr:colOff>18407</xdr:colOff>
      <xdr:row>19</xdr:row>
      <xdr:rowOff>254000</xdr:rowOff>
    </xdr:to>
    <xdr:sp macro="" textlink="">
      <xdr:nvSpPr>
        <xdr:cNvPr id="5" name="圓角矩形 4"/>
        <xdr:cNvSpPr/>
      </xdr:nvSpPr>
      <xdr:spPr>
        <a:xfrm>
          <a:off x="5111750" y="4449533"/>
          <a:ext cx="9733907" cy="4186467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wrap="square" lIns="36000" tIns="36000" rIns="36000" bIns="3600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00"/>
            </a:lnSpc>
            <a:spcBef>
              <a:spcPts val="1200"/>
            </a:spcBef>
          </a:pPr>
          <a:r>
            <a:rPr lang="zh-TW" altLang="en-US" sz="32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填寫說明：</a:t>
          </a:r>
          <a:endParaRPr lang="en-US" altLang="zh-TW" sz="32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>
            <a:lnSpc>
              <a:spcPts val="2100"/>
            </a:lnSpc>
            <a:spcBef>
              <a:spcPts val="1200"/>
            </a:spcBef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紅字部份請依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單位監測項目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修改，修改後改為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黑色字體。</a:t>
          </a:r>
          <a:endParaRPr lang="en-US" altLang="zh-TW" sz="2000" b="1" u="sng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>
            <a:lnSpc>
              <a:spcPts val="2200"/>
            </a:lnSpc>
            <a:spcBef>
              <a:spcPts val="1200"/>
            </a:spcBef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單位請填寫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樓層簡稱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即可，例如：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N17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R11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M09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BR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等。</a:t>
          </a:r>
          <a:endParaRPr lang="en-US" alt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lvl="0" indent="0" algn="l" defTabSz="914400" eaLnBrk="1" fontAlgn="auto" latinLnBrk="0" hangingPunct="1">
            <a:lnSpc>
              <a:spcPts val="22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 b="1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3.</a:t>
          </a:r>
          <a:r>
            <a:rPr lang="zh-TW" altLang="en-US" sz="2000" b="1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加護單位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則需填寫</a:t>
          </a:r>
          <a:r>
            <a:rPr lang="zh-TW" altLang="zh-TW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院方規定名稱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，例如：「第一加護、第五加護</a:t>
          </a:r>
          <a:r>
            <a:rPr lang="en-US" altLang="zh-TW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(PI)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」等。</a:t>
          </a:r>
          <a:endParaRPr lang="en-US" altLang="zh-TW" sz="2000" baseline="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lvl="0" indent="0" algn="l" defTabSz="914400" eaLnBrk="1" fontAlgn="auto" latinLnBrk="0" hangingPunct="1">
            <a:lnSpc>
              <a:spcPts val="22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4.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此表格除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月份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KEY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完後印出，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每季需繳交手寫版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至督導處簽章。</a:t>
          </a:r>
          <a:endParaRPr lang="en-US" alt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lvl="0" indent="0" algn="l" defTabSz="914400" eaLnBrk="1" fontAlgn="auto" latinLnBrk="0" hangingPunct="1">
            <a:lnSpc>
              <a:spcPts val="22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5.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年度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完成表格及趨勢圖電子檔後，依個別需求印出紙本再繳交給督導簽章。</a:t>
          </a:r>
          <a:endParaRPr lang="en-US" alt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>
            <a:lnSpc>
              <a:spcPts val="2100"/>
            </a:lnSpc>
            <a:spcBef>
              <a:spcPts val="1200"/>
            </a:spcBef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6.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比率欄位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月處設有公式，待首次印出紙本後，可自行複製公式至其他月份後，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/>
          </a:r>
          <a:b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</a:b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   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excel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可自行完成比率計算及趨勢圖繪製。</a:t>
          </a:r>
          <a:endParaRPr lang="en-US" alt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>
            <a:lnSpc>
              <a:spcPts val="2100"/>
            </a:lnSpc>
            <a:spcBef>
              <a:spcPts val="1200"/>
            </a:spcBef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7.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修改完成後請刪除此說明。</a:t>
          </a:r>
          <a:endParaRPr 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xdr:txBody>
    </xdr:sp>
    <xdr:clientData/>
  </xdr:twoCellAnchor>
  <xdr:twoCellAnchor>
    <xdr:from>
      <xdr:col>10</xdr:col>
      <xdr:colOff>1905000</xdr:colOff>
      <xdr:row>29</xdr:row>
      <xdr:rowOff>2301876</xdr:rowOff>
    </xdr:from>
    <xdr:to>
      <xdr:col>12</xdr:col>
      <xdr:colOff>793749</xdr:colOff>
      <xdr:row>30</xdr:row>
      <xdr:rowOff>158751</xdr:rowOff>
    </xdr:to>
    <xdr:sp macro="" textlink="">
      <xdr:nvSpPr>
        <xdr:cNvPr id="9" name="圓角矩形圖說文字 8"/>
        <xdr:cNvSpPr/>
      </xdr:nvSpPr>
      <xdr:spPr>
        <a:xfrm>
          <a:off x="12033250" y="15335251"/>
          <a:ext cx="3587749" cy="920750"/>
        </a:xfrm>
        <a:prstGeom prst="wedgeRoundRectCallout">
          <a:avLst>
            <a:gd name="adj1" fmla="val 32768"/>
            <a:gd name="adj2" fmla="val -80051"/>
            <a:gd name="adj3" fmla="val 16667"/>
          </a:avLst>
        </a:prstGeom>
        <a:solidFill>
          <a:schemeClr val="accent6">
            <a:lumMod val="5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ts val="2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200" b="1" kern="2300" spc="0" baseline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2200" b="1" kern="2300" spc="0" baseline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自行</a:t>
          </a:r>
          <a:r>
            <a:rPr lang="zh-TW" altLang="zh-TW" sz="2200" b="1" kern="2300" spc="0" baseline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  <a:cs typeface="+mn-cs"/>
            </a:rPr>
            <a:t>修改目標值數據</a:t>
          </a:r>
        </a:p>
        <a:p>
          <a:pPr>
            <a:lnSpc>
              <a:spcPts val="2100"/>
            </a:lnSpc>
          </a:pPr>
          <a:r>
            <a:rPr lang="en-US" altLang="zh-TW" sz="2200" b="1" kern="2300" spc="0" baseline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2200" b="1" kern="2300" spc="0" baseline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依目標值挪動紅線位置</a:t>
          </a:r>
          <a:endParaRPr lang="zh-TW" sz="2200" b="1" kern="2300" spc="0" baseline="0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288925</xdr:colOff>
      <xdr:row>29</xdr:row>
      <xdr:rowOff>1479553</xdr:rowOff>
    </xdr:from>
    <xdr:to>
      <xdr:col>13</xdr:col>
      <xdr:colOff>396875</xdr:colOff>
      <xdr:row>29</xdr:row>
      <xdr:rowOff>2238374</xdr:rowOff>
    </xdr:to>
    <xdr:grpSp>
      <xdr:nvGrpSpPr>
        <xdr:cNvPr id="1138" name="群組 7"/>
        <xdr:cNvGrpSpPr>
          <a:grpSpLocks/>
        </xdr:cNvGrpSpPr>
      </xdr:nvGrpSpPr>
      <xdr:grpSpPr bwMode="auto">
        <a:xfrm>
          <a:off x="2400300" y="14512928"/>
          <a:ext cx="13839825" cy="758821"/>
          <a:chOff x="1790700" y="14769948"/>
          <a:chExt cx="13405407" cy="693542"/>
        </a:xfrm>
      </xdr:grpSpPr>
      <xdr:cxnSp macro="">
        <xdr:nvCxnSpPr>
          <xdr:cNvPr id="3" name="直線接點 2"/>
          <xdr:cNvCxnSpPr/>
        </xdr:nvCxnSpPr>
        <xdr:spPr>
          <a:xfrm flipV="1">
            <a:off x="1790700" y="15152994"/>
            <a:ext cx="12268938" cy="8706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矩形 5"/>
          <xdr:cNvSpPr/>
        </xdr:nvSpPr>
        <xdr:spPr>
          <a:xfrm>
            <a:off x="14139948" y="14769948"/>
            <a:ext cx="1056159" cy="6935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TW" altLang="en-US" sz="2000" b="1">
                <a:solidFill>
                  <a:srgbClr val="0000CC"/>
                </a:solidFill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目標值</a:t>
            </a:r>
            <a:endParaRPr lang="en-US" altLang="zh-TW" sz="2000" b="1">
              <a:solidFill>
                <a:srgbClr val="0000CC"/>
              </a:solidFill>
              <a:latin typeface="Times New Roman" pitchFamily="18" charset="0"/>
              <a:ea typeface="標楷體" pitchFamily="65" charset="-120"/>
              <a:cs typeface="Times New Roman" pitchFamily="18" charset="0"/>
            </a:endParaRPr>
          </a:p>
          <a:p>
            <a:pPr algn="l"/>
            <a:r>
              <a:rPr lang="zh-TW" altLang="en-US" sz="2000" b="1">
                <a:solidFill>
                  <a:srgbClr val="0000CC"/>
                </a:solidFill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≧</a:t>
            </a:r>
            <a:r>
              <a:rPr lang="en-US" altLang="zh-TW" sz="2000" b="1">
                <a:solidFill>
                  <a:srgbClr val="0000CC"/>
                </a:solidFill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90%</a:t>
            </a:r>
            <a:endParaRPr lang="zh-TW" altLang="en-US" sz="2000" b="1">
              <a:solidFill>
                <a:srgbClr val="0000CC"/>
              </a:solidFill>
              <a:latin typeface="Times New Roman" pitchFamily="18" charset="0"/>
              <a:ea typeface="標楷體" pitchFamily="65" charset="-120"/>
              <a:cs typeface="Times New Roman" pitchFamily="18" charset="0"/>
            </a:endParaRPr>
          </a:p>
        </xdr:txBody>
      </xdr:sp>
    </xdr:grpSp>
    <xdr:clientData/>
  </xdr:twoCellAnchor>
  <xdr:twoCellAnchor>
    <xdr:from>
      <xdr:col>0</xdr:col>
      <xdr:colOff>557895</xdr:colOff>
      <xdr:row>6</xdr:row>
      <xdr:rowOff>142875</xdr:rowOff>
    </xdr:from>
    <xdr:to>
      <xdr:col>4</xdr:col>
      <xdr:colOff>158752</xdr:colOff>
      <xdr:row>7</xdr:row>
      <xdr:rowOff>285750</xdr:rowOff>
    </xdr:to>
    <xdr:sp macro="" textlink="">
      <xdr:nvSpPr>
        <xdr:cNvPr id="10" name="圓角矩形圖說文字 9"/>
        <xdr:cNvSpPr/>
      </xdr:nvSpPr>
      <xdr:spPr>
        <a:xfrm>
          <a:off x="557895" y="1984375"/>
          <a:ext cx="2394857" cy="587375"/>
        </a:xfrm>
        <a:prstGeom prst="wedgeRoundRectCallout">
          <a:avLst>
            <a:gd name="adj1" fmla="val -33427"/>
            <a:gd name="adj2" fmla="val -167807"/>
            <a:gd name="adj3" fmla="val 16667"/>
          </a:avLst>
        </a:prstGeom>
        <a:solidFill>
          <a:schemeClr val="accent6">
            <a:lumMod val="5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00"/>
            </a:lnSpc>
          </a:pPr>
          <a:r>
            <a:rPr lang="zh-TW" altLang="en-US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請自行填入年度</a:t>
          </a:r>
          <a:endParaRPr lang="zh-TW" sz="20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238125</xdr:colOff>
      <xdr:row>29</xdr:row>
      <xdr:rowOff>0</xdr:rowOff>
    </xdr:from>
    <xdr:to>
      <xdr:col>3</xdr:col>
      <xdr:colOff>521607</xdr:colOff>
      <xdr:row>29</xdr:row>
      <xdr:rowOff>587375</xdr:rowOff>
    </xdr:to>
    <xdr:sp macro="" textlink="">
      <xdr:nvSpPr>
        <xdr:cNvPr id="12" name="圓角矩形圖說文字 11"/>
        <xdr:cNvSpPr/>
      </xdr:nvSpPr>
      <xdr:spPr>
        <a:xfrm>
          <a:off x="238125" y="13033375"/>
          <a:ext cx="2394857" cy="587375"/>
        </a:xfrm>
        <a:prstGeom prst="wedgeRoundRectCallout">
          <a:avLst>
            <a:gd name="adj1" fmla="val -21495"/>
            <a:gd name="adj2" fmla="val -102942"/>
            <a:gd name="adj3" fmla="val 16667"/>
          </a:avLst>
        </a:prstGeom>
        <a:solidFill>
          <a:schemeClr val="accent6">
            <a:lumMod val="5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00"/>
            </a:lnSpc>
          </a:pPr>
          <a:r>
            <a:rPr lang="zh-TW" altLang="en-US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請自行填入年度</a:t>
          </a:r>
          <a:endParaRPr lang="zh-TW" sz="20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0.12599</cdr:x>
      <cdr:y>0.47756</cdr:y>
    </cdr:from>
    <cdr:to>
      <cdr:x>0.23866</cdr:x>
      <cdr:y>0.60271</cdr:y>
    </cdr:to>
    <cdr:sp macro="" textlink="">
      <cdr:nvSpPr>
        <cdr:cNvPr id="3" name="圓角矩形圖說文字 2"/>
        <cdr:cNvSpPr/>
      </cdr:nvSpPr>
      <cdr:spPr>
        <a:xfrm xmlns:a="http://schemas.openxmlformats.org/drawingml/2006/main">
          <a:off x="2012857" y="3709220"/>
          <a:ext cx="1800000" cy="972000"/>
        </a:xfrm>
        <a:prstGeom xmlns:a="http://schemas.openxmlformats.org/drawingml/2006/main" prst="wedgeRoundRectCallout">
          <a:avLst>
            <a:gd name="adj1" fmla="val -74017"/>
            <a:gd name="adj2" fmla="val -63268"/>
            <a:gd name="adj3" fmla="val 16667"/>
          </a:avLst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36000" tIns="36000" rIns="36000" bIns="3600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2100"/>
            </a:lnSpc>
          </a:pPr>
          <a:r>
            <a:rPr lang="zh-TW" altLang="en-US" sz="1800">
              <a:latin typeface="微軟正黑體" pitchFamily="34" charset="-120"/>
              <a:ea typeface="微軟正黑體" pitchFamily="34" charset="-120"/>
            </a:rPr>
            <a:t>座標軸請依設定之監測項目自行調整修改</a:t>
          </a:r>
          <a:endParaRPr lang="zh-TW" sz="1800">
            <a:latin typeface="微軟正黑體" pitchFamily="34" charset="-120"/>
            <a:ea typeface="微軟正黑體" pitchFamily="34" charset="-120"/>
          </a:endParaRPr>
        </a:p>
      </cdr:txBody>
    </cdr:sp>
  </cdr:relSizeAnchor>
  <cdr:relSizeAnchor xmlns:cdr="http://schemas.openxmlformats.org/drawingml/2006/chartDrawing">
    <cdr:from>
      <cdr:x>0.72282</cdr:x>
      <cdr:y>0.02977</cdr:y>
    </cdr:from>
    <cdr:to>
      <cdr:x>0.90759</cdr:x>
      <cdr:y>0.12711</cdr:y>
    </cdr:to>
    <cdr:sp macro="" textlink="">
      <cdr:nvSpPr>
        <cdr:cNvPr id="2" name="圓角矩形圖說文字 1"/>
        <cdr:cNvSpPr/>
      </cdr:nvSpPr>
      <cdr:spPr>
        <a:xfrm xmlns:a="http://schemas.openxmlformats.org/drawingml/2006/main">
          <a:off x="11527524" y="239757"/>
          <a:ext cx="2946716" cy="784071"/>
        </a:xfrm>
        <a:prstGeom xmlns:a="http://schemas.openxmlformats.org/drawingml/2006/main" prst="wedgeRoundRectCallout">
          <a:avLst>
            <a:gd name="adj1" fmla="val -69335"/>
            <a:gd name="adj2" fmla="val -23965"/>
            <a:gd name="adj3" fmla="val 16667"/>
          </a:avLst>
        </a:prstGeom>
        <a:solidFill xmlns:a="http://schemas.openxmlformats.org/drawingml/2006/main">
          <a:schemeClr val="accent6">
            <a:lumMod val="50000"/>
          </a:schemeClr>
        </a:solidFill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lIns="36000" tIns="36000" rIns="36000" bIns="36000" anchor="ctr"/>
        <a:lstStyle xmlns:a="http://schemas.openxmlformats.org/drawingml/2006/main"/>
        <a:p xmlns:a="http://schemas.openxmlformats.org/drawingml/2006/main">
          <a:pPr>
            <a:lnSpc>
              <a:spcPts val="2100"/>
            </a:lnSpc>
          </a:pPr>
          <a:r>
            <a:rPr lang="en-US" altLang="zh-TW" sz="18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1.</a:t>
          </a:r>
          <a:r>
            <a:rPr lang="zh-TW" altLang="en-US" sz="18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請依監測項目名稱修改</a:t>
          </a:r>
          <a:endParaRPr lang="en-US" altLang="zh-TW" sz="18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 xmlns:a="http://schemas.openxmlformats.org/drawingml/2006/main">
          <a:pPr>
            <a:lnSpc>
              <a:spcPts val="2600"/>
            </a:lnSpc>
          </a:pPr>
          <a:r>
            <a:rPr lang="en-US" altLang="zh-TW" sz="18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18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修改完成後請刪除此說明</a:t>
          </a:r>
          <a:endParaRPr lang="zh-TW" sz="18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</xdr:colOff>
      <xdr:row>8</xdr:row>
      <xdr:rowOff>333375</xdr:rowOff>
    </xdr:from>
    <xdr:to>
      <xdr:col>11</xdr:col>
      <xdr:colOff>1097907</xdr:colOff>
      <xdr:row>13</xdr:row>
      <xdr:rowOff>476250</xdr:rowOff>
    </xdr:to>
    <xdr:sp macro="" textlink="">
      <xdr:nvSpPr>
        <xdr:cNvPr id="2" name="圓角矩形 1"/>
        <xdr:cNvSpPr/>
      </xdr:nvSpPr>
      <xdr:spPr>
        <a:xfrm>
          <a:off x="3619500" y="3413125"/>
          <a:ext cx="9733907" cy="31591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wrap="square" lIns="36000" tIns="36000" rIns="36000" bIns="3600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00"/>
            </a:lnSpc>
            <a:spcBef>
              <a:spcPts val="1200"/>
            </a:spcBef>
          </a:pPr>
          <a:r>
            <a:rPr lang="zh-TW" altLang="en-US" sz="32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填寫說明：</a:t>
          </a:r>
          <a:endParaRPr lang="en-US" altLang="zh-TW" sz="32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>
            <a:lnSpc>
              <a:spcPts val="2100"/>
            </a:lnSpc>
            <a:spcBef>
              <a:spcPts val="1200"/>
            </a:spcBef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紅字部份請依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單位監測項目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修改，修改後改為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黑色字體。</a:t>
          </a:r>
          <a:endParaRPr lang="en-US" altLang="zh-TW" sz="2000" b="1" u="sng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>
            <a:lnSpc>
              <a:spcPts val="2200"/>
            </a:lnSpc>
            <a:spcBef>
              <a:spcPts val="1200"/>
            </a:spcBef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單位請填寫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樓層簡稱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即可，例如：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N17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R11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M09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BR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等。</a:t>
          </a:r>
          <a:endParaRPr lang="en-US" alt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lvl="0" indent="0" algn="l" defTabSz="914400" eaLnBrk="1" fontAlgn="auto" latinLnBrk="0" hangingPunct="1">
            <a:lnSpc>
              <a:spcPts val="22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 b="1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3.</a:t>
          </a:r>
          <a:r>
            <a:rPr lang="zh-TW" altLang="en-US" sz="2000" b="1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加護單位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則需填寫</a:t>
          </a:r>
          <a:r>
            <a:rPr lang="zh-TW" altLang="zh-TW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院方規定名稱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，例如：「第一加護、第五加護</a:t>
          </a:r>
          <a:r>
            <a:rPr lang="en-US" altLang="zh-TW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(PI)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」等。</a:t>
          </a:r>
          <a:endParaRPr lang="en-US" altLang="zh-TW" sz="2000" baseline="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lvl="0" indent="0" algn="l" defTabSz="914400" eaLnBrk="1" fontAlgn="auto" latinLnBrk="0" hangingPunct="1">
            <a:lnSpc>
              <a:spcPts val="22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4.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每項指標項目預設</a:t>
          </a:r>
          <a:r>
            <a:rPr lang="en-US" altLang="zh-TW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4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橫列，依個別需求可複製新增或刪除。</a:t>
          </a:r>
          <a:endParaRPr lang="en-US" altLang="zh-TW" sz="2000" baseline="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lvl="0" indent="0" algn="l" defTabSz="914400" eaLnBrk="1" fontAlgn="auto" latinLnBrk="0" hangingPunct="1">
            <a:lnSpc>
              <a:spcPts val="22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5.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修改完成後請刪除此說明。</a:t>
          </a:r>
          <a:endParaRPr 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1095375</xdr:colOff>
      <xdr:row>6</xdr:row>
      <xdr:rowOff>142875</xdr:rowOff>
    </xdr:from>
    <xdr:to>
      <xdr:col>4</xdr:col>
      <xdr:colOff>61232</xdr:colOff>
      <xdr:row>7</xdr:row>
      <xdr:rowOff>127000</xdr:rowOff>
    </xdr:to>
    <xdr:sp macro="" textlink="">
      <xdr:nvSpPr>
        <xdr:cNvPr id="3" name="圓角矩形圖說文字 2"/>
        <xdr:cNvSpPr/>
      </xdr:nvSpPr>
      <xdr:spPr>
        <a:xfrm>
          <a:off x="1095375" y="2028825"/>
          <a:ext cx="2509157" cy="584200"/>
        </a:xfrm>
        <a:prstGeom prst="wedgeRoundRectCallout">
          <a:avLst>
            <a:gd name="adj1" fmla="val -29449"/>
            <a:gd name="adj2" fmla="val -178617"/>
            <a:gd name="adj3" fmla="val 16667"/>
          </a:avLst>
        </a:prstGeom>
        <a:solidFill>
          <a:schemeClr val="accent6">
            <a:lumMod val="5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00"/>
            </a:lnSpc>
          </a:pPr>
          <a:r>
            <a:rPr lang="zh-TW" altLang="en-US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請自行填入年度</a:t>
          </a:r>
          <a:endParaRPr lang="zh-TW" sz="20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U32"/>
  <sheetViews>
    <sheetView view="pageBreakPreview" zoomScale="60" zoomScaleNormal="60" workbookViewId="0">
      <selection activeCell="K7" sqref="K7:L10"/>
    </sheetView>
  </sheetViews>
  <sheetFormatPr defaultColWidth="8.875" defaultRowHeight="15.75" x14ac:dyDescent="0.25"/>
  <cols>
    <col min="1" max="1" width="8.875" style="1"/>
    <col min="2" max="2" width="9.625" style="1" customWidth="1"/>
    <col min="3" max="3" width="9.25" style="1" customWidth="1"/>
    <col min="4" max="4" width="9" style="1" customWidth="1"/>
    <col min="5" max="5" width="14.5" style="1" customWidth="1"/>
    <col min="6" max="6" width="9.125" style="1" customWidth="1"/>
    <col min="7" max="7" width="14" style="1" customWidth="1"/>
    <col min="8" max="8" width="6.875" style="1" customWidth="1"/>
    <col min="9" max="9" width="30.5" style="1" customWidth="1"/>
    <col min="10" max="10" width="21.25" style="1" customWidth="1"/>
    <col min="11" max="11" width="37.125" style="2" customWidth="1"/>
    <col min="12" max="12" width="24.625" style="2" customWidth="1"/>
    <col min="13" max="13" width="13.375" style="2" customWidth="1"/>
    <col min="14" max="14" width="12.625" style="2" customWidth="1"/>
    <col min="15" max="19" width="6" style="2" bestFit="1" customWidth="1"/>
    <col min="20" max="21" width="8.25" style="2" bestFit="1" customWidth="1"/>
    <col min="22" max="16384" width="8.875" style="1"/>
  </cols>
  <sheetData>
    <row r="1" spans="1:21" s="14" customFormat="1" ht="17.100000000000001" customHeight="1" x14ac:dyDescent="0.3">
      <c r="A1" s="53" t="s">
        <v>26</v>
      </c>
      <c r="B1" s="53"/>
      <c r="C1" s="53"/>
      <c r="D1" s="53"/>
      <c r="E1" s="53"/>
      <c r="F1" s="90" t="s">
        <v>13</v>
      </c>
      <c r="G1" s="91"/>
      <c r="H1" s="96" t="s">
        <v>11</v>
      </c>
      <c r="I1" s="97"/>
      <c r="J1" s="97"/>
      <c r="K1" s="98"/>
      <c r="L1" s="12" t="s">
        <v>14</v>
      </c>
      <c r="M1" s="119" t="s">
        <v>12</v>
      </c>
      <c r="N1" s="120"/>
      <c r="O1" s="13"/>
    </row>
    <row r="2" spans="1:21" s="14" customFormat="1" ht="17.100000000000001" customHeight="1" x14ac:dyDescent="0.3">
      <c r="A2" s="53"/>
      <c r="B2" s="53"/>
      <c r="C2" s="53"/>
      <c r="D2" s="53"/>
      <c r="E2" s="53"/>
      <c r="F2" s="92"/>
      <c r="G2" s="93"/>
      <c r="H2" s="99"/>
      <c r="I2" s="100"/>
      <c r="J2" s="100"/>
      <c r="K2" s="101"/>
      <c r="L2" s="15" t="s">
        <v>15</v>
      </c>
      <c r="M2" s="102" t="s">
        <v>36</v>
      </c>
      <c r="N2" s="121"/>
      <c r="O2" s="13"/>
      <c r="P2" s="11"/>
      <c r="Q2" s="11"/>
      <c r="R2" s="11"/>
      <c r="S2" s="11"/>
    </row>
    <row r="3" spans="1:21" s="14" customFormat="1" ht="17.100000000000001" customHeight="1" x14ac:dyDescent="0.3">
      <c r="A3" s="54" t="s">
        <v>27</v>
      </c>
      <c r="B3" s="54"/>
      <c r="C3" s="54"/>
      <c r="D3" s="54"/>
      <c r="E3" s="54"/>
      <c r="F3" s="90" t="s">
        <v>16</v>
      </c>
      <c r="G3" s="126"/>
      <c r="H3" s="128" t="s">
        <v>1</v>
      </c>
      <c r="I3" s="129"/>
      <c r="J3" s="129"/>
      <c r="K3" s="130"/>
      <c r="L3" s="15" t="s">
        <v>17</v>
      </c>
      <c r="M3" s="102" t="s">
        <v>37</v>
      </c>
      <c r="N3" s="103"/>
      <c r="O3" s="13"/>
      <c r="P3" s="11"/>
      <c r="Q3" s="11"/>
      <c r="R3" s="11"/>
      <c r="S3" s="11"/>
    </row>
    <row r="4" spans="1:21" s="14" customFormat="1" ht="17.100000000000001" customHeight="1" x14ac:dyDescent="0.3">
      <c r="A4" s="54"/>
      <c r="B4" s="54"/>
      <c r="C4" s="54"/>
      <c r="D4" s="54"/>
      <c r="E4" s="54"/>
      <c r="F4" s="92"/>
      <c r="G4" s="127"/>
      <c r="H4" s="131"/>
      <c r="I4" s="132"/>
      <c r="J4" s="132"/>
      <c r="K4" s="133"/>
      <c r="L4" s="15" t="s">
        <v>18</v>
      </c>
      <c r="M4" s="104" t="s">
        <v>25</v>
      </c>
      <c r="N4" s="105"/>
      <c r="O4" s="13"/>
      <c r="P4" s="11"/>
      <c r="Q4" s="11"/>
      <c r="R4" s="11"/>
      <c r="S4" s="11"/>
    </row>
    <row r="5" spans="1:21" s="6" customFormat="1" ht="35.25" customHeight="1" thickBot="1" x14ac:dyDescent="0.35">
      <c r="A5" s="36" t="s">
        <v>41</v>
      </c>
      <c r="B5" s="20" t="s">
        <v>43</v>
      </c>
      <c r="C5" s="89" t="s">
        <v>2</v>
      </c>
      <c r="D5" s="89"/>
      <c r="E5" s="89"/>
      <c r="F5" s="125" t="s">
        <v>19</v>
      </c>
      <c r="G5" s="94"/>
      <c r="H5" s="94"/>
      <c r="I5" s="94"/>
      <c r="J5" s="20" t="s">
        <v>3</v>
      </c>
      <c r="K5" s="26" t="s">
        <v>44</v>
      </c>
      <c r="L5" s="94" t="s">
        <v>20</v>
      </c>
      <c r="M5" s="95"/>
      <c r="N5" s="95"/>
      <c r="P5" s="11"/>
      <c r="Q5" s="11"/>
      <c r="R5" s="11"/>
      <c r="S5" s="11"/>
    </row>
    <row r="6" spans="1:21" s="10" customFormat="1" ht="45" customHeight="1" x14ac:dyDescent="0.3">
      <c r="A6" s="21" t="s">
        <v>31</v>
      </c>
      <c r="B6" s="32" t="s">
        <v>4</v>
      </c>
      <c r="C6" s="35" t="s">
        <v>38</v>
      </c>
      <c r="D6" s="35" t="s">
        <v>39</v>
      </c>
      <c r="E6" s="35" t="s">
        <v>40</v>
      </c>
      <c r="F6" s="134" t="s">
        <v>45</v>
      </c>
      <c r="G6" s="134"/>
      <c r="H6" s="134" t="s">
        <v>5</v>
      </c>
      <c r="I6" s="134"/>
      <c r="J6" s="134"/>
      <c r="K6" s="134" t="s">
        <v>6</v>
      </c>
      <c r="L6" s="134"/>
      <c r="M6" s="17" t="s">
        <v>9</v>
      </c>
      <c r="N6" s="18" t="s">
        <v>7</v>
      </c>
      <c r="O6" s="9"/>
      <c r="P6" s="9"/>
      <c r="Q6" s="9"/>
      <c r="R6" s="9"/>
      <c r="S6" s="9"/>
      <c r="T6" s="9"/>
      <c r="U6" s="9"/>
    </row>
    <row r="7" spans="1:21" s="10" customFormat="1" ht="35.1" customHeight="1" x14ac:dyDescent="0.3">
      <c r="A7" s="55" t="s">
        <v>30</v>
      </c>
      <c r="B7" s="33">
        <v>1</v>
      </c>
      <c r="C7" s="16"/>
      <c r="D7" s="16"/>
      <c r="E7" s="27" t="e">
        <f>(C7/D7)*100</f>
        <v>#DIV/0!</v>
      </c>
      <c r="F7" s="61" t="s">
        <v>8</v>
      </c>
      <c r="G7" s="62"/>
      <c r="H7" s="67"/>
      <c r="I7" s="68"/>
      <c r="J7" s="69"/>
      <c r="K7" s="67"/>
      <c r="L7" s="69"/>
      <c r="M7" s="76"/>
      <c r="N7" s="56"/>
      <c r="O7" s="11" t="s">
        <v>29</v>
      </c>
      <c r="P7" s="11"/>
      <c r="Q7" s="11"/>
      <c r="R7" s="11"/>
      <c r="S7" s="11"/>
      <c r="T7" s="11"/>
      <c r="U7" s="11"/>
    </row>
    <row r="8" spans="1:21" s="10" customFormat="1" ht="35.1" customHeight="1" x14ac:dyDescent="0.3">
      <c r="A8" s="55"/>
      <c r="B8" s="33">
        <v>2</v>
      </c>
      <c r="C8" s="16"/>
      <c r="D8" s="16"/>
      <c r="E8" s="27" t="e">
        <f t="shared" ref="E8:E10" si="0">(C8/D8)*100</f>
        <v>#DIV/0!</v>
      </c>
      <c r="F8" s="63"/>
      <c r="G8" s="64"/>
      <c r="H8" s="70"/>
      <c r="I8" s="71"/>
      <c r="J8" s="72"/>
      <c r="K8" s="70"/>
      <c r="L8" s="72"/>
      <c r="M8" s="77"/>
      <c r="N8" s="57"/>
      <c r="O8" s="11"/>
      <c r="P8" s="11"/>
      <c r="Q8" s="11"/>
      <c r="R8" s="11"/>
      <c r="S8" s="11"/>
      <c r="T8" s="11"/>
      <c r="U8" s="11"/>
    </row>
    <row r="9" spans="1:21" s="10" customFormat="1" ht="35.1" customHeight="1" x14ac:dyDescent="0.3">
      <c r="A9" s="55"/>
      <c r="B9" s="33">
        <v>3</v>
      </c>
      <c r="C9" s="16"/>
      <c r="D9" s="16"/>
      <c r="E9" s="27" t="e">
        <f t="shared" si="0"/>
        <v>#DIV/0!</v>
      </c>
      <c r="F9" s="63"/>
      <c r="G9" s="64"/>
      <c r="H9" s="70"/>
      <c r="I9" s="71"/>
      <c r="J9" s="72"/>
      <c r="K9" s="70"/>
      <c r="L9" s="72"/>
      <c r="M9" s="77"/>
      <c r="N9" s="57"/>
      <c r="O9" s="11"/>
      <c r="P9" s="11"/>
      <c r="Q9" s="11"/>
      <c r="R9" s="11"/>
      <c r="S9" s="11"/>
      <c r="T9" s="11"/>
      <c r="U9" s="11"/>
    </row>
    <row r="10" spans="1:21" s="10" customFormat="1" ht="56.1" customHeight="1" x14ac:dyDescent="0.3">
      <c r="A10" s="55"/>
      <c r="B10" s="40" t="s">
        <v>32</v>
      </c>
      <c r="C10" s="41">
        <f>SUM(C7:C9)</f>
        <v>0</v>
      </c>
      <c r="D10" s="41">
        <f>SUM(D7:D9)</f>
        <v>0</v>
      </c>
      <c r="E10" s="42" t="e">
        <f>(C10/D10)*100</f>
        <v>#DIV/0!</v>
      </c>
      <c r="F10" s="65"/>
      <c r="G10" s="66"/>
      <c r="H10" s="73"/>
      <c r="I10" s="74"/>
      <c r="J10" s="75"/>
      <c r="K10" s="73"/>
      <c r="L10" s="75"/>
      <c r="M10" s="106"/>
      <c r="N10" s="107"/>
      <c r="O10" s="11"/>
      <c r="P10" s="11"/>
      <c r="Q10" s="11"/>
      <c r="R10" s="11"/>
      <c r="S10" s="11"/>
      <c r="T10" s="11"/>
      <c r="U10" s="11"/>
    </row>
    <row r="11" spans="1:21" s="10" customFormat="1" ht="35.1" customHeight="1" x14ac:dyDescent="0.3">
      <c r="A11" s="55" t="s">
        <v>35</v>
      </c>
      <c r="B11" s="33">
        <v>4</v>
      </c>
      <c r="C11" s="16"/>
      <c r="D11" s="16"/>
      <c r="E11" s="27" t="e">
        <f>(C11/D11)*100</f>
        <v>#DIV/0!</v>
      </c>
      <c r="F11" s="61" t="s">
        <v>8</v>
      </c>
      <c r="G11" s="62"/>
      <c r="H11" s="80"/>
      <c r="I11" s="81"/>
      <c r="J11" s="82"/>
      <c r="K11" s="67"/>
      <c r="L11" s="69"/>
      <c r="M11" s="76"/>
      <c r="N11" s="56"/>
      <c r="O11" s="11"/>
      <c r="P11" s="11"/>
      <c r="Q11" s="11"/>
      <c r="R11" s="11"/>
      <c r="S11" s="11"/>
      <c r="T11" s="11"/>
      <c r="U11" s="11"/>
    </row>
    <row r="12" spans="1:21" s="10" customFormat="1" ht="35.1" customHeight="1" x14ac:dyDescent="0.3">
      <c r="A12" s="55"/>
      <c r="B12" s="33">
        <v>5</v>
      </c>
      <c r="C12" s="16"/>
      <c r="D12" s="16"/>
      <c r="E12" s="27" t="e">
        <f t="shared" ref="E12:E14" si="1">(C12/D12)*100</f>
        <v>#DIV/0!</v>
      </c>
      <c r="F12" s="63"/>
      <c r="G12" s="64"/>
      <c r="H12" s="83"/>
      <c r="I12" s="84"/>
      <c r="J12" s="85"/>
      <c r="K12" s="70"/>
      <c r="L12" s="72"/>
      <c r="M12" s="77"/>
      <c r="N12" s="57"/>
      <c r="O12" s="11"/>
      <c r="P12" s="11"/>
      <c r="Q12" s="11"/>
      <c r="R12" s="11"/>
      <c r="S12" s="11"/>
      <c r="T12" s="11"/>
      <c r="U12" s="11"/>
    </row>
    <row r="13" spans="1:21" s="10" customFormat="1" ht="35.1" customHeight="1" x14ac:dyDescent="0.3">
      <c r="A13" s="55"/>
      <c r="B13" s="33">
        <v>6</v>
      </c>
      <c r="C13" s="16"/>
      <c r="D13" s="16"/>
      <c r="E13" s="27" t="e">
        <f t="shared" si="1"/>
        <v>#DIV/0!</v>
      </c>
      <c r="F13" s="63"/>
      <c r="G13" s="64"/>
      <c r="H13" s="83"/>
      <c r="I13" s="84"/>
      <c r="J13" s="85"/>
      <c r="K13" s="70"/>
      <c r="L13" s="72"/>
      <c r="M13" s="77"/>
      <c r="N13" s="57"/>
      <c r="O13" s="11"/>
      <c r="P13" s="11"/>
      <c r="Q13" s="11"/>
      <c r="R13" s="11"/>
      <c r="S13" s="11"/>
      <c r="T13" s="11"/>
      <c r="U13" s="11"/>
    </row>
    <row r="14" spans="1:21" s="10" customFormat="1" ht="56.1" customHeight="1" x14ac:dyDescent="0.3">
      <c r="A14" s="55"/>
      <c r="B14" s="40" t="s">
        <v>32</v>
      </c>
      <c r="C14" s="41">
        <f>SUM(C11:C13)</f>
        <v>0</v>
      </c>
      <c r="D14" s="41">
        <f>SUM(D11:D13)</f>
        <v>0</v>
      </c>
      <c r="E14" s="42" t="e">
        <f>(C14/D14)*100</f>
        <v>#DIV/0!</v>
      </c>
      <c r="F14" s="65"/>
      <c r="G14" s="66"/>
      <c r="H14" s="86"/>
      <c r="I14" s="87"/>
      <c r="J14" s="88"/>
      <c r="K14" s="73"/>
      <c r="L14" s="75"/>
      <c r="M14" s="106"/>
      <c r="N14" s="107"/>
      <c r="O14" s="11"/>
      <c r="P14" s="11"/>
      <c r="Q14" s="11"/>
      <c r="R14" s="11"/>
      <c r="S14" s="11"/>
      <c r="T14" s="11"/>
      <c r="U14" s="11"/>
    </row>
    <row r="15" spans="1:21" s="10" customFormat="1" ht="35.1" customHeight="1" x14ac:dyDescent="0.3">
      <c r="A15" s="55" t="s">
        <v>34</v>
      </c>
      <c r="B15" s="33">
        <v>7</v>
      </c>
      <c r="C15" s="16"/>
      <c r="D15" s="16"/>
      <c r="E15" s="27" t="e">
        <f>(C15/D15)*100</f>
        <v>#DIV/0!</v>
      </c>
      <c r="F15" s="61" t="s">
        <v>8</v>
      </c>
      <c r="G15" s="62"/>
      <c r="H15" s="80"/>
      <c r="I15" s="81"/>
      <c r="J15" s="82"/>
      <c r="K15" s="67"/>
      <c r="L15" s="69"/>
      <c r="M15" s="76"/>
      <c r="N15" s="56"/>
      <c r="O15" s="11"/>
      <c r="P15" s="11"/>
      <c r="Q15" s="11"/>
      <c r="R15" s="11"/>
      <c r="S15" s="11"/>
      <c r="T15" s="11"/>
      <c r="U15" s="11"/>
    </row>
    <row r="16" spans="1:21" s="10" customFormat="1" ht="35.1" customHeight="1" x14ac:dyDescent="0.3">
      <c r="A16" s="55"/>
      <c r="B16" s="33">
        <v>8</v>
      </c>
      <c r="C16" s="16"/>
      <c r="D16" s="16"/>
      <c r="E16" s="27" t="e">
        <f t="shared" ref="E16:E18" si="2">(C16/D16)*100</f>
        <v>#DIV/0!</v>
      </c>
      <c r="F16" s="63"/>
      <c r="G16" s="64"/>
      <c r="H16" s="83"/>
      <c r="I16" s="84"/>
      <c r="J16" s="85"/>
      <c r="K16" s="70"/>
      <c r="L16" s="72"/>
      <c r="M16" s="77"/>
      <c r="N16" s="57"/>
      <c r="O16" s="11"/>
      <c r="P16" s="11"/>
      <c r="Q16" s="11"/>
      <c r="R16" s="11"/>
      <c r="S16" s="11"/>
      <c r="T16" s="11"/>
      <c r="U16" s="11"/>
    </row>
    <row r="17" spans="1:21" s="10" customFormat="1" ht="35.1" customHeight="1" x14ac:dyDescent="0.3">
      <c r="A17" s="55"/>
      <c r="B17" s="33">
        <v>9</v>
      </c>
      <c r="C17" s="16"/>
      <c r="D17" s="16"/>
      <c r="E17" s="27" t="e">
        <f t="shared" si="2"/>
        <v>#DIV/0!</v>
      </c>
      <c r="F17" s="63"/>
      <c r="G17" s="64"/>
      <c r="H17" s="83"/>
      <c r="I17" s="84"/>
      <c r="J17" s="85"/>
      <c r="K17" s="70"/>
      <c r="L17" s="72"/>
      <c r="M17" s="77"/>
      <c r="N17" s="57"/>
      <c r="O17" s="11"/>
      <c r="P17" s="11"/>
      <c r="Q17" s="11"/>
      <c r="R17" s="11"/>
      <c r="S17" s="11"/>
      <c r="T17" s="11"/>
      <c r="U17" s="11"/>
    </row>
    <row r="18" spans="1:21" s="10" customFormat="1" ht="56.1" customHeight="1" x14ac:dyDescent="0.3">
      <c r="A18" s="55"/>
      <c r="B18" s="40" t="s">
        <v>32</v>
      </c>
      <c r="C18" s="41">
        <f>SUM(C15:C17)</f>
        <v>0</v>
      </c>
      <c r="D18" s="41">
        <f>SUM(D15:D17)</f>
        <v>0</v>
      </c>
      <c r="E18" s="42" t="e">
        <f t="shared" si="2"/>
        <v>#DIV/0!</v>
      </c>
      <c r="F18" s="65"/>
      <c r="G18" s="66"/>
      <c r="H18" s="86"/>
      <c r="I18" s="87"/>
      <c r="J18" s="88"/>
      <c r="K18" s="73"/>
      <c r="L18" s="75"/>
      <c r="M18" s="106"/>
      <c r="N18" s="107"/>
      <c r="O18" s="11"/>
      <c r="P18" s="11"/>
      <c r="Q18" s="11"/>
      <c r="R18" s="11"/>
      <c r="S18" s="11"/>
      <c r="T18" s="11"/>
      <c r="U18" s="11"/>
    </row>
    <row r="19" spans="1:21" s="10" customFormat="1" ht="35.1" customHeight="1" x14ac:dyDescent="0.3">
      <c r="A19" s="55" t="s">
        <v>33</v>
      </c>
      <c r="B19" s="33">
        <v>10</v>
      </c>
      <c r="C19" s="16"/>
      <c r="D19" s="16"/>
      <c r="E19" s="27" t="e">
        <f>(C19/D19)*100</f>
        <v>#DIV/0!</v>
      </c>
      <c r="F19" s="61" t="s">
        <v>8</v>
      </c>
      <c r="G19" s="62"/>
      <c r="H19" s="80"/>
      <c r="I19" s="81"/>
      <c r="J19" s="82"/>
      <c r="K19" s="67"/>
      <c r="L19" s="69"/>
      <c r="M19" s="76"/>
      <c r="N19" s="56"/>
      <c r="O19" s="11"/>
      <c r="P19" s="11"/>
      <c r="Q19" s="11"/>
      <c r="R19" s="11"/>
      <c r="S19" s="11"/>
      <c r="T19" s="11"/>
      <c r="U19" s="11"/>
    </row>
    <row r="20" spans="1:21" s="10" customFormat="1" ht="35.1" customHeight="1" x14ac:dyDescent="0.3">
      <c r="A20" s="55"/>
      <c r="B20" s="33">
        <v>11</v>
      </c>
      <c r="C20" s="16"/>
      <c r="D20" s="16"/>
      <c r="E20" s="27" t="e">
        <f t="shared" ref="E20:E22" si="3">(C20/D20)*100</f>
        <v>#DIV/0!</v>
      </c>
      <c r="F20" s="63"/>
      <c r="G20" s="64"/>
      <c r="H20" s="83"/>
      <c r="I20" s="84"/>
      <c r="J20" s="85"/>
      <c r="K20" s="70"/>
      <c r="L20" s="72"/>
      <c r="M20" s="77"/>
      <c r="N20" s="57"/>
      <c r="O20" s="11"/>
      <c r="P20" s="11"/>
      <c r="Q20" s="11"/>
      <c r="R20" s="11"/>
      <c r="S20" s="11"/>
      <c r="T20" s="11"/>
      <c r="U20" s="11"/>
    </row>
    <row r="21" spans="1:21" s="10" customFormat="1" ht="35.1" customHeight="1" x14ac:dyDescent="0.3">
      <c r="A21" s="55"/>
      <c r="B21" s="34">
        <v>12</v>
      </c>
      <c r="C21" s="16"/>
      <c r="D21" s="16"/>
      <c r="E21" s="27" t="e">
        <f t="shared" si="3"/>
        <v>#DIV/0!</v>
      </c>
      <c r="F21" s="63"/>
      <c r="G21" s="64"/>
      <c r="H21" s="83"/>
      <c r="I21" s="84"/>
      <c r="J21" s="85"/>
      <c r="K21" s="70"/>
      <c r="L21" s="72"/>
      <c r="M21" s="77"/>
      <c r="N21" s="57"/>
      <c r="O21" s="11"/>
      <c r="P21" s="11"/>
      <c r="Q21" s="11"/>
      <c r="R21" s="11"/>
      <c r="S21" s="11"/>
      <c r="T21" s="11"/>
      <c r="U21" s="11"/>
    </row>
    <row r="22" spans="1:21" s="10" customFormat="1" ht="56.1" customHeight="1" thickBot="1" x14ac:dyDescent="0.35">
      <c r="A22" s="79"/>
      <c r="B22" s="43" t="s">
        <v>32</v>
      </c>
      <c r="C22" s="44">
        <f>SUM(C19:C21)</f>
        <v>0</v>
      </c>
      <c r="D22" s="44">
        <f>SUM(D19:D21)</f>
        <v>0</v>
      </c>
      <c r="E22" s="42" t="e">
        <f t="shared" si="3"/>
        <v>#DIV/0!</v>
      </c>
      <c r="F22" s="114"/>
      <c r="G22" s="115"/>
      <c r="H22" s="109"/>
      <c r="I22" s="110"/>
      <c r="J22" s="111"/>
      <c r="K22" s="112"/>
      <c r="L22" s="113"/>
      <c r="M22" s="78"/>
      <c r="N22" s="58"/>
      <c r="O22" s="11"/>
      <c r="P22" s="11"/>
      <c r="Q22" s="11"/>
      <c r="R22" s="11"/>
      <c r="S22" s="11"/>
      <c r="T22" s="11"/>
      <c r="U22" s="11"/>
    </row>
    <row r="23" spans="1:21" s="10" customFormat="1" ht="56.1" customHeight="1" thickBot="1" x14ac:dyDescent="0.35">
      <c r="A23" s="59" t="s">
        <v>24</v>
      </c>
      <c r="B23" s="60"/>
      <c r="C23" s="31">
        <f>SUM(C10,C14,C18,C22)</f>
        <v>0</v>
      </c>
      <c r="D23" s="31">
        <f>SUM(D10,D14,D18,D22)</f>
        <v>0</v>
      </c>
      <c r="E23" s="28" t="e">
        <f>(C23/D23)*100</f>
        <v>#DIV/0!</v>
      </c>
      <c r="F23" s="123" t="s">
        <v>8</v>
      </c>
      <c r="G23" s="123"/>
      <c r="H23" s="118"/>
      <c r="I23" s="118"/>
      <c r="J23" s="118"/>
      <c r="K23" s="118"/>
      <c r="L23" s="118"/>
      <c r="M23" s="24"/>
      <c r="N23" s="25"/>
      <c r="O23" s="11"/>
      <c r="P23" s="11"/>
      <c r="Q23" s="11"/>
      <c r="R23" s="11"/>
      <c r="S23" s="11"/>
      <c r="T23" s="11"/>
      <c r="U23" s="11"/>
    </row>
    <row r="24" spans="1:21" s="5" customFormat="1" ht="36" customHeight="1" x14ac:dyDescent="0.25">
      <c r="B24" s="108" t="s">
        <v>10</v>
      </c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</row>
    <row r="25" spans="1:21" s="14" customFormat="1" ht="17.100000000000001" customHeight="1" x14ac:dyDescent="0.3">
      <c r="A25" s="53" t="s">
        <v>26</v>
      </c>
      <c r="B25" s="53"/>
      <c r="C25" s="53"/>
      <c r="D25" s="53"/>
      <c r="E25" s="53"/>
      <c r="F25" s="90" t="s">
        <v>13</v>
      </c>
      <c r="G25" s="91"/>
      <c r="H25" s="96" t="s">
        <v>11</v>
      </c>
      <c r="I25" s="97"/>
      <c r="J25" s="97"/>
      <c r="K25" s="98"/>
      <c r="L25" s="12" t="s">
        <v>14</v>
      </c>
      <c r="M25" s="119" t="s">
        <v>12</v>
      </c>
      <c r="N25" s="120"/>
      <c r="O25" s="13"/>
    </row>
    <row r="26" spans="1:21" s="14" customFormat="1" ht="17.100000000000001" customHeight="1" x14ac:dyDescent="0.3">
      <c r="A26" s="53"/>
      <c r="B26" s="53"/>
      <c r="C26" s="53"/>
      <c r="D26" s="53"/>
      <c r="E26" s="53"/>
      <c r="F26" s="92"/>
      <c r="G26" s="93"/>
      <c r="H26" s="99"/>
      <c r="I26" s="100"/>
      <c r="J26" s="100"/>
      <c r="K26" s="101"/>
      <c r="L26" s="15" t="s">
        <v>15</v>
      </c>
      <c r="M26" s="102" t="s">
        <v>36</v>
      </c>
      <c r="N26" s="121"/>
      <c r="O26" s="13"/>
      <c r="P26" s="11"/>
      <c r="Q26" s="11"/>
      <c r="R26" s="11"/>
      <c r="S26" s="29"/>
    </row>
    <row r="27" spans="1:21" s="14" customFormat="1" ht="17.100000000000001" customHeight="1" x14ac:dyDescent="0.3">
      <c r="A27" s="54" t="s">
        <v>27</v>
      </c>
      <c r="B27" s="54"/>
      <c r="C27" s="54"/>
      <c r="D27" s="54"/>
      <c r="E27" s="54"/>
      <c r="F27" s="90" t="s">
        <v>16</v>
      </c>
      <c r="G27" s="126"/>
      <c r="H27" s="128" t="s">
        <v>1</v>
      </c>
      <c r="I27" s="129"/>
      <c r="J27" s="129"/>
      <c r="K27" s="130"/>
      <c r="L27" s="15" t="s">
        <v>17</v>
      </c>
      <c r="M27" s="102" t="s">
        <v>37</v>
      </c>
      <c r="N27" s="103"/>
      <c r="O27" s="13"/>
      <c r="P27" s="11"/>
      <c r="Q27" s="11"/>
      <c r="R27" s="11"/>
      <c r="S27" s="11"/>
    </row>
    <row r="28" spans="1:21" s="14" customFormat="1" ht="17.100000000000001" customHeight="1" x14ac:dyDescent="0.3">
      <c r="A28" s="54"/>
      <c r="B28" s="54"/>
      <c r="C28" s="54"/>
      <c r="D28" s="54"/>
      <c r="E28" s="54"/>
      <c r="F28" s="92"/>
      <c r="G28" s="127"/>
      <c r="H28" s="131"/>
      <c r="I28" s="132"/>
      <c r="J28" s="132"/>
      <c r="K28" s="133"/>
      <c r="L28" s="15" t="s">
        <v>18</v>
      </c>
      <c r="M28" s="104" t="s">
        <v>23</v>
      </c>
      <c r="N28" s="105"/>
      <c r="O28" s="13"/>
      <c r="P28" s="11"/>
      <c r="Q28" s="11"/>
      <c r="R28" s="11"/>
      <c r="S28" s="11"/>
    </row>
    <row r="29" spans="1:21" s="6" customFormat="1" ht="85.5" customHeight="1" x14ac:dyDescent="0.3">
      <c r="A29" s="36" t="s">
        <v>41</v>
      </c>
      <c r="B29" s="19" t="s">
        <v>42</v>
      </c>
      <c r="C29" s="124" t="s">
        <v>2</v>
      </c>
      <c r="D29" s="124"/>
      <c r="E29" s="124"/>
      <c r="F29" s="125" t="s">
        <v>19</v>
      </c>
      <c r="G29" s="94"/>
      <c r="H29" s="94"/>
      <c r="I29" s="94"/>
      <c r="J29" s="20" t="s">
        <v>3</v>
      </c>
      <c r="K29" s="26" t="s">
        <v>28</v>
      </c>
      <c r="L29" s="94" t="s">
        <v>20</v>
      </c>
      <c r="M29" s="95"/>
      <c r="N29" s="95"/>
      <c r="P29" s="11"/>
      <c r="Q29" s="11"/>
      <c r="R29" s="11"/>
      <c r="S29" s="11"/>
    </row>
    <row r="30" spans="1:21" s="3" customFormat="1" ht="240.75" customHeight="1" x14ac:dyDescent="0.3">
      <c r="E30" s="7"/>
      <c r="F30" s="122"/>
      <c r="G30" s="122"/>
      <c r="H30" s="122"/>
      <c r="K30" s="8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409.5" customHeight="1" x14ac:dyDescent="0.25"/>
    <row r="32" spans="1:21" s="22" customFormat="1" ht="80.099999999999994" customHeight="1" x14ac:dyDescent="0.25">
      <c r="D32" s="116" t="s">
        <v>22</v>
      </c>
      <c r="E32" s="117"/>
      <c r="F32" s="117"/>
      <c r="G32" s="117"/>
      <c r="K32" s="23" t="s">
        <v>21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</row>
  </sheetData>
  <mergeCells count="60">
    <mergeCell ref="L5:N5"/>
    <mergeCell ref="F5:I5"/>
    <mergeCell ref="M11:M14"/>
    <mergeCell ref="N11:N14"/>
    <mergeCell ref="H1:K2"/>
    <mergeCell ref="F6:G6"/>
    <mergeCell ref="H6:J6"/>
    <mergeCell ref="M2:N2"/>
    <mergeCell ref="F3:G4"/>
    <mergeCell ref="H3:K4"/>
    <mergeCell ref="M3:N3"/>
    <mergeCell ref="F1:G2"/>
    <mergeCell ref="M4:N4"/>
    <mergeCell ref="K6:L6"/>
    <mergeCell ref="M1:N1"/>
    <mergeCell ref="D32:G32"/>
    <mergeCell ref="K23:L23"/>
    <mergeCell ref="M25:N25"/>
    <mergeCell ref="M26:N26"/>
    <mergeCell ref="F30:H30"/>
    <mergeCell ref="F23:G23"/>
    <mergeCell ref="H23:J23"/>
    <mergeCell ref="C29:E29"/>
    <mergeCell ref="F29:I29"/>
    <mergeCell ref="F27:G28"/>
    <mergeCell ref="H27:K28"/>
    <mergeCell ref="A25:E26"/>
    <mergeCell ref="A27:E28"/>
    <mergeCell ref="C5:E5"/>
    <mergeCell ref="F25:G26"/>
    <mergeCell ref="L29:N29"/>
    <mergeCell ref="H25:K26"/>
    <mergeCell ref="M27:N27"/>
    <mergeCell ref="M28:N28"/>
    <mergeCell ref="M7:M10"/>
    <mergeCell ref="N7:N10"/>
    <mergeCell ref="B24:N24"/>
    <mergeCell ref="M15:M18"/>
    <mergeCell ref="N15:N18"/>
    <mergeCell ref="H19:J22"/>
    <mergeCell ref="K19:L22"/>
    <mergeCell ref="H15:J18"/>
    <mergeCell ref="K15:L18"/>
    <mergeCell ref="F19:G22"/>
    <mergeCell ref="A1:E2"/>
    <mergeCell ref="A3:E4"/>
    <mergeCell ref="A7:A10"/>
    <mergeCell ref="N19:N22"/>
    <mergeCell ref="A23:B23"/>
    <mergeCell ref="F7:G10"/>
    <mergeCell ref="H7:J10"/>
    <mergeCell ref="K7:L10"/>
    <mergeCell ref="M19:M22"/>
    <mergeCell ref="A11:A14"/>
    <mergeCell ref="A19:A22"/>
    <mergeCell ref="A15:A18"/>
    <mergeCell ref="F11:G14"/>
    <mergeCell ref="H11:J14"/>
    <mergeCell ref="K11:L14"/>
    <mergeCell ref="F15:G18"/>
  </mergeCells>
  <phoneticPr fontId="1" type="noConversion"/>
  <printOptions horizontalCentered="1"/>
  <pageMargins left="0.15748031496062992" right="0" top="0.19685039370078741" bottom="0" header="0.19685039370078741" footer="0.15748031496062992"/>
  <pageSetup paperSize="9" scale="65" orientation="landscape" r:id="rId1"/>
  <headerFooter alignWithMargins="0">
    <oddFooter xml:space="preserve">&amp;R&amp;"Times New Roman,標準"&amp;14    </oddFooter>
  </headerFooter>
  <rowBreaks count="1" manualBreakCount="1">
    <brk id="24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view="pageBreakPreview" zoomScale="60" zoomScaleNormal="60" workbookViewId="0">
      <selection activeCell="G8" sqref="G8"/>
    </sheetView>
  </sheetViews>
  <sheetFormatPr defaultColWidth="8.875" defaultRowHeight="15.75" x14ac:dyDescent="0.25"/>
  <cols>
    <col min="1" max="1" width="15.5" style="1" bestFit="1" customWidth="1"/>
    <col min="2" max="2" width="10.375" style="1" customWidth="1"/>
    <col min="3" max="3" width="10.875" style="1" customWidth="1"/>
    <col min="4" max="6" width="9.75" style="1" customWidth="1"/>
    <col min="7" max="7" width="9.75" style="52" customWidth="1"/>
    <col min="8" max="8" width="18.75" style="1" customWidth="1"/>
    <col min="9" max="10" width="21.125" style="1" customWidth="1"/>
    <col min="11" max="11" width="24.25" style="2" customWidth="1"/>
    <col min="12" max="12" width="21.875" style="2" customWidth="1"/>
    <col min="13" max="14" width="13.75" style="2" customWidth="1"/>
    <col min="15" max="19" width="6" style="2" bestFit="1" customWidth="1"/>
    <col min="20" max="21" width="8.25" style="2" bestFit="1" customWidth="1"/>
    <col min="22" max="16384" width="8.875" style="1"/>
  </cols>
  <sheetData>
    <row r="1" spans="1:21" s="14" customFormat="1" ht="17.100000000000001" customHeight="1" x14ac:dyDescent="0.3">
      <c r="A1" s="144" t="s">
        <v>26</v>
      </c>
      <c r="B1" s="145"/>
      <c r="C1" s="145"/>
      <c r="D1" s="145"/>
      <c r="E1" s="146"/>
      <c r="F1" s="90" t="s">
        <v>13</v>
      </c>
      <c r="G1" s="91"/>
      <c r="H1" s="96" t="s">
        <v>46</v>
      </c>
      <c r="I1" s="97"/>
      <c r="J1" s="97"/>
      <c r="K1" s="98"/>
      <c r="L1" s="12" t="s">
        <v>14</v>
      </c>
      <c r="M1" s="119" t="s">
        <v>12</v>
      </c>
      <c r="N1" s="120"/>
      <c r="O1" s="13"/>
    </row>
    <row r="2" spans="1:21" s="14" customFormat="1" ht="17.100000000000001" customHeight="1" x14ac:dyDescent="0.3">
      <c r="A2" s="147"/>
      <c r="B2" s="148"/>
      <c r="C2" s="148"/>
      <c r="D2" s="148"/>
      <c r="E2" s="149"/>
      <c r="F2" s="92"/>
      <c r="G2" s="93"/>
      <c r="H2" s="99"/>
      <c r="I2" s="100"/>
      <c r="J2" s="100"/>
      <c r="K2" s="101"/>
      <c r="L2" s="15" t="s">
        <v>15</v>
      </c>
      <c r="M2" s="102" t="s">
        <v>36</v>
      </c>
      <c r="N2" s="121"/>
      <c r="O2" s="13"/>
    </row>
    <row r="3" spans="1:21" s="14" customFormat="1" ht="17.100000000000001" customHeight="1" x14ac:dyDescent="0.3">
      <c r="A3" s="150" t="s">
        <v>27</v>
      </c>
      <c r="B3" s="151"/>
      <c r="C3" s="151"/>
      <c r="D3" s="151"/>
      <c r="E3" s="152"/>
      <c r="F3" s="90" t="s">
        <v>47</v>
      </c>
      <c r="G3" s="126"/>
      <c r="H3" s="128" t="s">
        <v>1</v>
      </c>
      <c r="I3" s="129"/>
      <c r="J3" s="129"/>
      <c r="K3" s="130"/>
      <c r="L3" s="15" t="s">
        <v>17</v>
      </c>
      <c r="M3" s="102" t="s">
        <v>48</v>
      </c>
      <c r="N3" s="103"/>
      <c r="O3" s="13"/>
    </row>
    <row r="4" spans="1:21" s="14" customFormat="1" ht="17.100000000000001" customHeight="1" x14ac:dyDescent="0.3">
      <c r="A4" s="153"/>
      <c r="B4" s="154"/>
      <c r="C4" s="154"/>
      <c r="D4" s="154"/>
      <c r="E4" s="155"/>
      <c r="F4" s="92"/>
      <c r="G4" s="127"/>
      <c r="H4" s="131"/>
      <c r="I4" s="132"/>
      <c r="J4" s="132"/>
      <c r="K4" s="133"/>
      <c r="L4" s="15" t="s">
        <v>18</v>
      </c>
      <c r="M4" s="104" t="s">
        <v>0</v>
      </c>
      <c r="N4" s="105"/>
      <c r="O4" s="13"/>
    </row>
    <row r="5" spans="1:21" s="6" customFormat="1" ht="35.25" customHeight="1" x14ac:dyDescent="0.3">
      <c r="A5" s="38" t="s">
        <v>41</v>
      </c>
      <c r="B5" s="45" t="s">
        <v>49</v>
      </c>
      <c r="C5" s="37" t="s">
        <v>50</v>
      </c>
      <c r="D5" s="36"/>
      <c r="F5" s="36"/>
      <c r="G5" s="36"/>
      <c r="H5" s="139"/>
      <c r="I5" s="139"/>
      <c r="J5" s="36"/>
      <c r="K5" s="38"/>
      <c r="L5" s="46" t="s">
        <v>51</v>
      </c>
      <c r="M5" s="140" t="s">
        <v>52</v>
      </c>
      <c r="N5" s="141"/>
    </row>
    <row r="6" spans="1:21" s="49" customFormat="1" ht="47.25" customHeight="1" x14ac:dyDescent="0.3">
      <c r="A6" s="142" t="s">
        <v>53</v>
      </c>
      <c r="B6" s="142"/>
      <c r="C6" s="47" t="s">
        <v>54</v>
      </c>
      <c r="D6" s="47" t="s">
        <v>4</v>
      </c>
      <c r="E6" s="47" t="s">
        <v>38</v>
      </c>
      <c r="F6" s="47" t="s">
        <v>55</v>
      </c>
      <c r="G6" s="48" t="s">
        <v>56</v>
      </c>
      <c r="H6" s="48" t="s">
        <v>57</v>
      </c>
      <c r="I6" s="142" t="s">
        <v>5</v>
      </c>
      <c r="J6" s="142"/>
      <c r="K6" s="142" t="s">
        <v>6</v>
      </c>
      <c r="L6" s="142"/>
      <c r="M6" s="47" t="s">
        <v>9</v>
      </c>
      <c r="N6" s="47" t="s">
        <v>7</v>
      </c>
      <c r="O6" s="9"/>
      <c r="P6" s="9"/>
      <c r="Q6" s="9"/>
      <c r="R6" s="9"/>
      <c r="S6" s="9"/>
      <c r="T6" s="9"/>
      <c r="U6" s="9"/>
    </row>
    <row r="7" spans="1:21" s="10" customFormat="1" ht="47.25" customHeight="1" x14ac:dyDescent="0.3">
      <c r="A7" s="143" t="s">
        <v>19</v>
      </c>
      <c r="B7" s="143"/>
      <c r="C7" s="50"/>
      <c r="D7" s="16"/>
      <c r="E7" s="16"/>
      <c r="F7" s="30"/>
      <c r="G7" s="39" t="e">
        <f>E7/F7*100</f>
        <v>#DIV/0!</v>
      </c>
      <c r="H7" s="51" t="s">
        <v>58</v>
      </c>
      <c r="I7" s="137"/>
      <c r="J7" s="137"/>
      <c r="K7" s="135"/>
      <c r="L7" s="135"/>
      <c r="M7" s="39"/>
      <c r="N7" s="39"/>
      <c r="O7" s="11"/>
      <c r="P7" s="11"/>
      <c r="Q7" s="11"/>
      <c r="R7" s="11"/>
      <c r="S7" s="11"/>
      <c r="T7" s="11"/>
      <c r="U7" s="11"/>
    </row>
    <row r="8" spans="1:21" s="10" customFormat="1" ht="47.25" customHeight="1" x14ac:dyDescent="0.3">
      <c r="A8" s="143"/>
      <c r="B8" s="143"/>
      <c r="C8" s="50"/>
      <c r="D8" s="16"/>
      <c r="E8" s="16"/>
      <c r="F8" s="30"/>
      <c r="G8" s="39" t="e">
        <f t="shared" ref="G8:G22" si="0">E8/F8*100</f>
        <v>#DIV/0!</v>
      </c>
      <c r="H8" s="51" t="s">
        <v>8</v>
      </c>
      <c r="I8" s="137"/>
      <c r="J8" s="137"/>
      <c r="K8" s="135"/>
      <c r="L8" s="135"/>
      <c r="M8" s="39"/>
      <c r="N8" s="39"/>
      <c r="O8" s="11"/>
      <c r="P8" s="11"/>
      <c r="Q8" s="11"/>
      <c r="R8" s="11"/>
      <c r="S8" s="11"/>
      <c r="T8" s="11"/>
      <c r="U8" s="11"/>
    </row>
    <row r="9" spans="1:21" s="10" customFormat="1" ht="47.25" customHeight="1" x14ac:dyDescent="0.3">
      <c r="A9" s="143"/>
      <c r="B9" s="143"/>
      <c r="C9" s="50"/>
      <c r="D9" s="16"/>
      <c r="E9" s="16"/>
      <c r="F9" s="30"/>
      <c r="G9" s="39" t="e">
        <f t="shared" si="0"/>
        <v>#DIV/0!</v>
      </c>
      <c r="H9" s="51" t="s">
        <v>8</v>
      </c>
      <c r="I9" s="137"/>
      <c r="J9" s="137"/>
      <c r="K9" s="135"/>
      <c r="L9" s="135"/>
      <c r="M9" s="39"/>
      <c r="N9" s="39"/>
      <c r="O9" s="11"/>
      <c r="P9" s="11"/>
      <c r="Q9" s="11"/>
      <c r="R9" s="11"/>
      <c r="S9" s="11"/>
      <c r="T9" s="11"/>
      <c r="U9" s="11"/>
    </row>
    <row r="10" spans="1:21" s="10" customFormat="1" ht="47.25" customHeight="1" x14ac:dyDescent="0.3">
      <c r="A10" s="143"/>
      <c r="B10" s="143"/>
      <c r="C10" s="50"/>
      <c r="D10" s="16"/>
      <c r="E10" s="16"/>
      <c r="F10" s="30"/>
      <c r="G10" s="39" t="e">
        <f t="shared" si="0"/>
        <v>#DIV/0!</v>
      </c>
      <c r="H10" s="51" t="s">
        <v>8</v>
      </c>
      <c r="I10" s="137"/>
      <c r="J10" s="137"/>
      <c r="K10" s="135"/>
      <c r="L10" s="135"/>
      <c r="M10" s="39"/>
      <c r="N10" s="39"/>
      <c r="O10" s="11"/>
      <c r="P10" s="11"/>
      <c r="Q10" s="11"/>
      <c r="R10" s="11"/>
      <c r="S10" s="11"/>
      <c r="T10" s="11"/>
      <c r="U10" s="11"/>
    </row>
    <row r="11" spans="1:21" s="10" customFormat="1" ht="47.25" customHeight="1" x14ac:dyDescent="0.3">
      <c r="A11" s="138"/>
      <c r="B11" s="138"/>
      <c r="C11" s="50"/>
      <c r="D11" s="16"/>
      <c r="E11" s="16"/>
      <c r="F11" s="30"/>
      <c r="G11" s="39" t="e">
        <f t="shared" si="0"/>
        <v>#DIV/0!</v>
      </c>
      <c r="H11" s="51" t="s">
        <v>58</v>
      </c>
      <c r="I11" s="137"/>
      <c r="J11" s="137"/>
      <c r="K11" s="135"/>
      <c r="L11" s="135"/>
      <c r="M11" s="39"/>
      <c r="N11" s="39"/>
      <c r="O11" s="11"/>
      <c r="P11" s="11"/>
      <c r="Q11" s="11"/>
      <c r="R11" s="11"/>
      <c r="S11" s="11"/>
      <c r="T11" s="11"/>
      <c r="U11" s="11"/>
    </row>
    <row r="12" spans="1:21" s="10" customFormat="1" ht="47.25" customHeight="1" x14ac:dyDescent="0.3">
      <c r="A12" s="138"/>
      <c r="B12" s="138"/>
      <c r="C12" s="50"/>
      <c r="D12" s="16"/>
      <c r="E12" s="16"/>
      <c r="F12" s="30"/>
      <c r="G12" s="39" t="e">
        <f t="shared" si="0"/>
        <v>#DIV/0!</v>
      </c>
      <c r="H12" s="51" t="s">
        <v>8</v>
      </c>
      <c r="I12" s="137"/>
      <c r="J12" s="137"/>
      <c r="K12" s="135"/>
      <c r="L12" s="135"/>
      <c r="M12" s="39"/>
      <c r="N12" s="39"/>
      <c r="O12" s="11"/>
      <c r="P12" s="11"/>
      <c r="Q12" s="11"/>
      <c r="R12" s="11"/>
      <c r="S12" s="11"/>
      <c r="T12" s="11"/>
      <c r="U12" s="11"/>
    </row>
    <row r="13" spans="1:21" s="10" customFormat="1" ht="47.25" customHeight="1" x14ac:dyDescent="0.3">
      <c r="A13" s="138"/>
      <c r="B13" s="138"/>
      <c r="C13" s="50"/>
      <c r="D13" s="16"/>
      <c r="E13" s="16"/>
      <c r="F13" s="30"/>
      <c r="G13" s="39" t="e">
        <f t="shared" si="0"/>
        <v>#DIV/0!</v>
      </c>
      <c r="H13" s="51" t="s">
        <v>8</v>
      </c>
      <c r="I13" s="137"/>
      <c r="J13" s="137"/>
      <c r="K13" s="135"/>
      <c r="L13" s="135"/>
      <c r="M13" s="39"/>
      <c r="N13" s="39"/>
      <c r="O13" s="11"/>
      <c r="P13" s="11"/>
      <c r="Q13" s="11"/>
      <c r="R13" s="11"/>
      <c r="S13" s="11"/>
      <c r="T13" s="11"/>
      <c r="U13" s="11"/>
    </row>
    <row r="14" spans="1:21" s="10" customFormat="1" ht="47.25" customHeight="1" x14ac:dyDescent="0.3">
      <c r="A14" s="138"/>
      <c r="B14" s="138"/>
      <c r="C14" s="50"/>
      <c r="D14" s="16"/>
      <c r="E14" s="16"/>
      <c r="F14" s="30"/>
      <c r="G14" s="39" t="e">
        <f t="shared" si="0"/>
        <v>#DIV/0!</v>
      </c>
      <c r="H14" s="51" t="s">
        <v>8</v>
      </c>
      <c r="I14" s="137"/>
      <c r="J14" s="137"/>
      <c r="K14" s="135"/>
      <c r="L14" s="135"/>
      <c r="M14" s="39"/>
      <c r="N14" s="39"/>
      <c r="O14" s="11"/>
      <c r="P14" s="11"/>
      <c r="Q14" s="11"/>
      <c r="R14" s="11"/>
      <c r="S14" s="11"/>
      <c r="T14" s="11"/>
      <c r="U14" s="11"/>
    </row>
    <row r="15" spans="1:21" s="10" customFormat="1" ht="47.25" customHeight="1" x14ac:dyDescent="0.3">
      <c r="A15" s="138"/>
      <c r="B15" s="138"/>
      <c r="C15" s="50"/>
      <c r="D15" s="16"/>
      <c r="E15" s="16"/>
      <c r="F15" s="30"/>
      <c r="G15" s="39" t="e">
        <f t="shared" si="0"/>
        <v>#DIV/0!</v>
      </c>
      <c r="H15" s="51" t="s">
        <v>8</v>
      </c>
      <c r="I15" s="137"/>
      <c r="J15" s="137"/>
      <c r="K15" s="135"/>
      <c r="L15" s="135"/>
      <c r="M15" s="39"/>
      <c r="N15" s="39"/>
      <c r="O15" s="11"/>
      <c r="P15" s="11"/>
      <c r="Q15" s="11"/>
      <c r="R15" s="11"/>
      <c r="S15" s="11"/>
      <c r="T15" s="11"/>
      <c r="U15" s="11"/>
    </row>
    <row r="16" spans="1:21" s="10" customFormat="1" ht="47.25" customHeight="1" x14ac:dyDescent="0.3">
      <c r="A16" s="138"/>
      <c r="B16" s="138"/>
      <c r="C16" s="50"/>
      <c r="D16" s="16"/>
      <c r="E16" s="16"/>
      <c r="F16" s="30"/>
      <c r="G16" s="39" t="e">
        <f t="shared" si="0"/>
        <v>#DIV/0!</v>
      </c>
      <c r="H16" s="51" t="s">
        <v>8</v>
      </c>
      <c r="I16" s="137"/>
      <c r="J16" s="137"/>
      <c r="K16" s="135"/>
      <c r="L16" s="135"/>
      <c r="M16" s="39"/>
      <c r="N16" s="39"/>
      <c r="O16" s="11"/>
      <c r="P16" s="11"/>
      <c r="Q16" s="11"/>
      <c r="R16" s="11"/>
      <c r="S16" s="11"/>
      <c r="T16" s="11"/>
      <c r="U16" s="11"/>
    </row>
    <row r="17" spans="1:21" s="10" customFormat="1" ht="47.25" customHeight="1" x14ac:dyDescent="0.3">
      <c r="A17" s="138"/>
      <c r="B17" s="138"/>
      <c r="C17" s="50"/>
      <c r="D17" s="16"/>
      <c r="E17" s="16"/>
      <c r="F17" s="30"/>
      <c r="G17" s="39" t="e">
        <f t="shared" si="0"/>
        <v>#DIV/0!</v>
      </c>
      <c r="H17" s="51" t="s">
        <v>58</v>
      </c>
      <c r="I17" s="137"/>
      <c r="J17" s="137"/>
      <c r="K17" s="135"/>
      <c r="L17" s="135"/>
      <c r="M17" s="39"/>
      <c r="N17" s="39"/>
      <c r="O17" s="11"/>
      <c r="P17" s="11"/>
      <c r="Q17" s="11"/>
      <c r="R17" s="11"/>
      <c r="S17" s="11"/>
      <c r="T17" s="11"/>
      <c r="U17" s="11"/>
    </row>
    <row r="18" spans="1:21" s="10" customFormat="1" ht="47.25" customHeight="1" x14ac:dyDescent="0.3">
      <c r="A18" s="138"/>
      <c r="B18" s="138"/>
      <c r="C18" s="50"/>
      <c r="D18" s="16"/>
      <c r="E18" s="16"/>
      <c r="F18" s="30"/>
      <c r="G18" s="39" t="e">
        <f t="shared" si="0"/>
        <v>#DIV/0!</v>
      </c>
      <c r="H18" s="51" t="s">
        <v>58</v>
      </c>
      <c r="I18" s="137"/>
      <c r="J18" s="137"/>
      <c r="K18" s="135"/>
      <c r="L18" s="135"/>
      <c r="M18" s="39"/>
      <c r="N18" s="39"/>
      <c r="O18" s="11"/>
      <c r="P18" s="11"/>
      <c r="Q18" s="11"/>
      <c r="R18" s="11"/>
      <c r="S18" s="11"/>
      <c r="T18" s="11"/>
      <c r="U18" s="11"/>
    </row>
    <row r="19" spans="1:21" s="10" customFormat="1" ht="47.25" customHeight="1" x14ac:dyDescent="0.3">
      <c r="A19" s="138"/>
      <c r="B19" s="138"/>
      <c r="C19" s="50"/>
      <c r="D19" s="16"/>
      <c r="E19" s="16"/>
      <c r="F19" s="30"/>
      <c r="G19" s="39" t="e">
        <f t="shared" si="0"/>
        <v>#DIV/0!</v>
      </c>
      <c r="H19" s="51" t="s">
        <v>8</v>
      </c>
      <c r="I19" s="137"/>
      <c r="J19" s="137"/>
      <c r="K19" s="135"/>
      <c r="L19" s="135"/>
      <c r="M19" s="39"/>
      <c r="N19" s="39"/>
      <c r="O19" s="11"/>
      <c r="P19" s="11"/>
      <c r="Q19" s="11"/>
      <c r="R19" s="11"/>
      <c r="S19" s="11"/>
      <c r="T19" s="11"/>
      <c r="U19" s="11"/>
    </row>
    <row r="20" spans="1:21" s="10" customFormat="1" ht="47.25" customHeight="1" x14ac:dyDescent="0.3">
      <c r="A20" s="138"/>
      <c r="B20" s="138"/>
      <c r="C20" s="50"/>
      <c r="D20" s="16"/>
      <c r="E20" s="16"/>
      <c r="F20" s="30"/>
      <c r="G20" s="39" t="e">
        <f t="shared" si="0"/>
        <v>#DIV/0!</v>
      </c>
      <c r="H20" s="51" t="s">
        <v>8</v>
      </c>
      <c r="I20" s="137"/>
      <c r="J20" s="137"/>
      <c r="K20" s="135"/>
      <c r="L20" s="135"/>
      <c r="M20" s="39"/>
      <c r="N20" s="39"/>
      <c r="O20" s="11"/>
      <c r="P20" s="11"/>
      <c r="Q20" s="11"/>
      <c r="R20" s="11"/>
      <c r="S20" s="11"/>
      <c r="T20" s="11"/>
      <c r="U20" s="11"/>
    </row>
    <row r="21" spans="1:21" s="10" customFormat="1" ht="47.25" customHeight="1" x14ac:dyDescent="0.3">
      <c r="A21" s="138"/>
      <c r="B21" s="138"/>
      <c r="C21" s="50"/>
      <c r="D21" s="16"/>
      <c r="E21" s="16"/>
      <c r="F21" s="30"/>
      <c r="G21" s="39" t="e">
        <f t="shared" si="0"/>
        <v>#DIV/0!</v>
      </c>
      <c r="H21" s="51" t="s">
        <v>8</v>
      </c>
      <c r="I21" s="137"/>
      <c r="J21" s="137"/>
      <c r="K21" s="135"/>
      <c r="L21" s="135"/>
      <c r="M21" s="39"/>
      <c r="N21" s="39"/>
      <c r="O21" s="11"/>
      <c r="P21" s="11"/>
      <c r="Q21" s="11"/>
      <c r="R21" s="11"/>
      <c r="S21" s="11"/>
      <c r="T21" s="11"/>
      <c r="U21" s="11"/>
    </row>
    <row r="22" spans="1:21" s="10" customFormat="1" ht="47.25" customHeight="1" x14ac:dyDescent="0.3">
      <c r="A22" s="138"/>
      <c r="B22" s="138"/>
      <c r="C22" s="50"/>
      <c r="D22" s="16"/>
      <c r="E22" s="16"/>
      <c r="F22" s="30"/>
      <c r="G22" s="39" t="e">
        <f t="shared" si="0"/>
        <v>#DIV/0!</v>
      </c>
      <c r="H22" s="51" t="s">
        <v>8</v>
      </c>
      <c r="I22" s="137"/>
      <c r="J22" s="137"/>
      <c r="K22" s="135"/>
      <c r="L22" s="135"/>
      <c r="M22" s="39"/>
      <c r="N22" s="39"/>
      <c r="O22" s="11"/>
      <c r="P22" s="11"/>
      <c r="Q22" s="11"/>
      <c r="R22" s="11"/>
      <c r="S22" s="11"/>
      <c r="T22" s="11"/>
      <c r="U22" s="11"/>
    </row>
    <row r="23" spans="1:21" ht="30.75" customHeight="1" x14ac:dyDescent="0.25">
      <c r="A23" s="136" t="s">
        <v>10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</row>
  </sheetData>
  <mergeCells count="52">
    <mergeCell ref="A3:E4"/>
    <mergeCell ref="F3:G4"/>
    <mergeCell ref="H3:K4"/>
    <mergeCell ref="M3:N3"/>
    <mergeCell ref="M4:N4"/>
    <mergeCell ref="A1:E2"/>
    <mergeCell ref="F1:G2"/>
    <mergeCell ref="H1:K2"/>
    <mergeCell ref="M1:N1"/>
    <mergeCell ref="M2:N2"/>
    <mergeCell ref="H5:I5"/>
    <mergeCell ref="M5:N5"/>
    <mergeCell ref="A6:B6"/>
    <mergeCell ref="I6:J6"/>
    <mergeCell ref="K6:L6"/>
    <mergeCell ref="I9:J9"/>
    <mergeCell ref="K9:L9"/>
    <mergeCell ref="I10:J10"/>
    <mergeCell ref="K10:L10"/>
    <mergeCell ref="A11:B14"/>
    <mergeCell ref="I11:J11"/>
    <mergeCell ref="K11:L11"/>
    <mergeCell ref="I12:J12"/>
    <mergeCell ref="K12:L12"/>
    <mergeCell ref="I13:J13"/>
    <mergeCell ref="A7:B10"/>
    <mergeCell ref="I7:J7"/>
    <mergeCell ref="K7:L7"/>
    <mergeCell ref="I8:J8"/>
    <mergeCell ref="K8:L8"/>
    <mergeCell ref="K13:L13"/>
    <mergeCell ref="I14:J14"/>
    <mergeCell ref="K14:L14"/>
    <mergeCell ref="A15:B18"/>
    <mergeCell ref="I15:J15"/>
    <mergeCell ref="K15:L15"/>
    <mergeCell ref="I16:J16"/>
    <mergeCell ref="K16:L16"/>
    <mergeCell ref="I17:J17"/>
    <mergeCell ref="K17:L17"/>
    <mergeCell ref="K22:L22"/>
    <mergeCell ref="A23:L23"/>
    <mergeCell ref="I18:J18"/>
    <mergeCell ref="K18:L18"/>
    <mergeCell ref="A19:B22"/>
    <mergeCell ref="I19:J19"/>
    <mergeCell ref="K19:L19"/>
    <mergeCell ref="I20:J20"/>
    <mergeCell ref="K20:L20"/>
    <mergeCell ref="I21:J21"/>
    <mergeCell ref="K21:L21"/>
    <mergeCell ref="I22:J22"/>
  </mergeCells>
  <phoneticPr fontId="1" type="noConversion"/>
  <printOptions horizontalCentered="1" verticalCentered="1"/>
  <pageMargins left="0" right="0" top="0" bottom="0" header="0" footer="0"/>
  <pageSetup paperSize="9"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護理品管指標監測結果</vt:lpstr>
      <vt:lpstr>護理品管指標監測結果 (單次)</vt:lpstr>
      <vt:lpstr>護理品管指標監測結果!OLE_LINK1</vt:lpstr>
      <vt:lpstr>護理品管指標監測結果!Print_Area</vt:lpstr>
    </vt:vector>
  </TitlesOfParts>
  <Company>csh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</dc:creator>
  <cp:lastModifiedBy>user</cp:lastModifiedBy>
  <cp:lastPrinted>2023-11-24T06:49:46Z</cp:lastPrinted>
  <dcterms:created xsi:type="dcterms:W3CDTF">2010-08-23T06:51:08Z</dcterms:created>
  <dcterms:modified xsi:type="dcterms:W3CDTF">2024-01-04T00:53:31Z</dcterms:modified>
</cp:coreProperties>
</file>