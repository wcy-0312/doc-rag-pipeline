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01.品管組\3.品管組-106年至113年\00.品管標準化文件及表單\標準化文件-表單\"/>
    </mc:Choice>
  </mc:AlternateContent>
  <xr:revisionPtr revIDLastSave="0" documentId="13_ncr:1_{61944BFC-0409-465A-81F5-8BCE7F4BA316}" xr6:coauthVersionLast="47" xr6:coauthVersionMax="47" xr10:uidLastSave="{00000000-0000-0000-0000-000000000000}"/>
  <bookViews>
    <workbookView xWindow="-120" yWindow="-120" windowWidth="24240" windowHeight="13140" tabRatio="818" xr2:uid="{00000000-000D-0000-FFFF-FFFF00000000}"/>
  </bookViews>
  <sheets>
    <sheet name="品管指標監測計劃-空白表單" sheetId="43" r:id="rId1"/>
  </sheets>
  <definedNames>
    <definedName name="_xlnm.Print_Area" localSheetId="0">'品管指標監測計劃-空白表單'!$A$1:$N$27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43" l="1"/>
  <c r="T23" i="43" s="1"/>
  <c r="T22" i="43"/>
  <c r="S22" i="43"/>
  <c r="G22" i="43" s="1"/>
  <c r="K22" i="43"/>
  <c r="J22" i="43"/>
  <c r="I22" i="43"/>
  <c r="H22" i="43"/>
  <c r="S21" i="43"/>
  <c r="T21" i="43" s="1"/>
  <c r="T20" i="43"/>
  <c r="H20" i="43" s="1"/>
  <c r="S20" i="43"/>
  <c r="K20" i="43"/>
  <c r="J20" i="43"/>
  <c r="I20" i="43"/>
  <c r="G20" i="43"/>
  <c r="S19" i="43"/>
  <c r="T19" i="43" s="1"/>
  <c r="T18" i="43"/>
  <c r="H18" i="43" s="1"/>
  <c r="S18" i="43"/>
  <c r="G18" i="43" s="1"/>
  <c r="K18" i="43"/>
  <c r="J18" i="43"/>
  <c r="I18" i="43"/>
  <c r="T17" i="43"/>
  <c r="S17" i="43"/>
  <c r="T16" i="43"/>
  <c r="H16" i="43" s="1"/>
  <c r="S16" i="43"/>
  <c r="G16" i="43" s="1"/>
  <c r="K16" i="43"/>
  <c r="J16" i="43"/>
  <c r="I16" i="43"/>
  <c r="S15" i="43"/>
  <c r="T15" i="43" s="1"/>
  <c r="T14" i="43"/>
  <c r="S14" i="43"/>
  <c r="G14" i="43" s="1"/>
  <c r="K14" i="43"/>
  <c r="J14" i="43"/>
  <c r="I14" i="43"/>
  <c r="H14" i="43"/>
  <c r="S13" i="43"/>
  <c r="T13" i="43" s="1"/>
  <c r="T12" i="43"/>
  <c r="H12" i="43" s="1"/>
  <c r="S12" i="43"/>
  <c r="K12" i="43"/>
  <c r="J12" i="43"/>
  <c r="I12" i="43"/>
  <c r="G12" i="43"/>
  <c r="S11" i="43"/>
  <c r="T11" i="43" s="1"/>
  <c r="T10" i="43"/>
  <c r="S10" i="43"/>
  <c r="G10" i="43" s="1"/>
  <c r="K10" i="43"/>
  <c r="J10" i="43"/>
  <c r="I10" i="43"/>
  <c r="H10" i="43"/>
  <c r="T9" i="43"/>
  <c r="S9" i="43"/>
  <c r="T8" i="43"/>
  <c r="H8" i="43" s="1"/>
  <c r="S8" i="43"/>
  <c r="K8" i="43"/>
  <c r="J8" i="43"/>
  <c r="I8" i="43"/>
  <c r="G8" i="43"/>
</calcChain>
</file>

<file path=xl/sharedStrings.xml><?xml version="1.0" encoding="utf-8"?>
<sst xmlns="http://schemas.openxmlformats.org/spreadsheetml/2006/main" count="46" uniqueCount="40">
  <si>
    <r>
      <rPr>
        <sz val="12"/>
        <color indexed="8"/>
        <rFont val="標楷體"/>
        <family val="4"/>
        <charset val="136"/>
      </rPr>
      <t>護理部</t>
    </r>
  </si>
  <si>
    <r>
      <rPr>
        <b/>
        <sz val="12"/>
        <rFont val="標楷體"/>
        <family val="4"/>
        <charset val="136"/>
      </rPr>
      <t>指標項目</t>
    </r>
  </si>
  <si>
    <r>
      <rPr>
        <b/>
        <sz val="12"/>
        <rFont val="標楷體"/>
        <family val="4"/>
        <charset val="136"/>
      </rPr>
      <t>分子</t>
    </r>
    <r>
      <rPr>
        <b/>
        <sz val="12"/>
        <rFont val="Times New Roman"/>
        <family val="1"/>
      </rPr>
      <t xml:space="preserve"> &amp; </t>
    </r>
    <r>
      <rPr>
        <b/>
        <sz val="12"/>
        <rFont val="標楷體"/>
        <family val="4"/>
        <charset val="136"/>
      </rPr>
      <t>分母</t>
    </r>
  </si>
  <si>
    <r>
      <rPr>
        <b/>
        <sz val="12"/>
        <rFont val="標楷體"/>
        <family val="4"/>
        <charset val="136"/>
      </rPr>
      <t>指標類別</t>
    </r>
    <r>
      <rPr>
        <b/>
        <sz val="12"/>
        <rFont val="Times New Roman"/>
        <family val="1"/>
      </rPr>
      <t xml:space="preserve">/
</t>
    </r>
    <r>
      <rPr>
        <b/>
        <sz val="12"/>
        <rFont val="標楷體"/>
        <family val="4"/>
        <charset val="136"/>
      </rPr>
      <t>代碼</t>
    </r>
    <phoneticPr fontId="8" type="noConversion"/>
  </si>
  <si>
    <r>
      <rPr>
        <b/>
        <sz val="12"/>
        <rFont val="標楷體"/>
        <family val="4"/>
        <charset val="136"/>
      </rPr>
      <t>指標
負責人</t>
    </r>
    <phoneticPr fontId="8" type="noConversion"/>
  </si>
  <si>
    <r>
      <rPr>
        <b/>
        <sz val="12"/>
        <color rgb="FF0000CC"/>
        <rFont val="標楷體"/>
        <family val="4"/>
        <charset val="136"/>
      </rPr>
      <t>協同
負責人</t>
    </r>
    <phoneticPr fontId="8" type="noConversion"/>
  </si>
  <si>
    <r>
      <rPr>
        <b/>
        <sz val="12"/>
        <rFont val="標楷體"/>
        <family val="4"/>
        <charset val="136"/>
      </rPr>
      <t>指標負責單位</t>
    </r>
  </si>
  <si>
    <r>
      <rPr>
        <sz val="12"/>
        <rFont val="標楷體"/>
        <family val="4"/>
        <charset val="136"/>
      </rPr>
      <t>護理部</t>
    </r>
  </si>
  <si>
    <r>
      <t>P.S.</t>
    </r>
    <r>
      <rPr>
        <sz val="12"/>
        <rFont val="標楷體"/>
        <family val="4"/>
        <charset val="136"/>
      </rPr>
      <t>各指標負責人應於各月監測指標數據，季或年度指標數據高於閾值，提出</t>
    </r>
    <r>
      <rPr>
        <sz val="12"/>
        <rFont val="Times New Roman"/>
        <family val="1"/>
      </rPr>
      <t>PDCA</t>
    </r>
    <r>
      <rPr>
        <sz val="12"/>
        <rFont val="標楷體"/>
        <family val="4"/>
        <charset val="136"/>
      </rPr>
      <t>改善方案。</t>
    </r>
    <phoneticPr fontId="8" type="noConversion"/>
  </si>
  <si>
    <r>
      <rPr>
        <sz val="12"/>
        <rFont val="標楷體"/>
        <family val="4"/>
        <charset val="136"/>
      </rPr>
      <t>註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：閾值設定方式，若數值高於同儕則為平均數減一個標準差，若已優於同儕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標註</t>
    </r>
    <r>
      <rPr>
        <sz val="12"/>
        <rFont val="Times New Roman"/>
        <family val="1"/>
      </rPr>
      <t>*)</t>
    </r>
    <r>
      <rPr>
        <sz val="12"/>
        <rFont val="標楷體"/>
        <family val="4"/>
        <charset val="136"/>
      </rPr>
      <t>值則設為去年度平均值監測變異，若去年未達閾值指標則參照去年閾值設定</t>
    </r>
    <phoneticPr fontId="8" type="noConversion"/>
  </si>
  <si>
    <r>
      <rPr>
        <sz val="12"/>
        <rFont val="標楷體"/>
        <family val="4"/>
        <charset val="136"/>
      </rPr>
      <t>註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：感控計算針扎發生率公式以年底護理人員數計算，每季追蹤只能限設定件數，年底才能計算正確發生率</t>
    </r>
    <phoneticPr fontId="8" type="noConversion"/>
  </si>
  <si>
    <r>
      <rPr>
        <sz val="12"/>
        <rFont val="標楷體"/>
        <family val="4"/>
        <charset val="136"/>
      </rPr>
      <t>註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：指標名稱說明
　　　</t>
    </r>
    <r>
      <rPr>
        <sz val="12"/>
        <rFont val="Times New Roman"/>
        <family val="1"/>
      </rPr>
      <t>(1)</t>
    </r>
    <r>
      <rPr>
        <sz val="12"/>
        <rFont val="標楷體"/>
        <family val="4"/>
        <charset val="136"/>
      </rPr>
      <t>一般病房：「一般急性病床」與「隔離病床」，不含</t>
    </r>
    <r>
      <rPr>
        <u/>
        <sz val="12"/>
        <rFont val="Times New Roman"/>
        <family val="1"/>
      </rPr>
      <t>M05</t>
    </r>
    <r>
      <rPr>
        <u/>
        <sz val="12"/>
        <rFont val="標楷體"/>
        <family val="4"/>
        <charset val="136"/>
      </rPr>
      <t>安寧病床</t>
    </r>
    <r>
      <rPr>
        <u/>
        <sz val="12"/>
        <rFont val="Times New Roman"/>
        <family val="1"/>
      </rPr>
      <t>20</t>
    </r>
    <r>
      <rPr>
        <u/>
        <sz val="12"/>
        <rFont val="標楷體"/>
        <family val="4"/>
        <charset val="136"/>
      </rPr>
      <t>床</t>
    </r>
    <r>
      <rPr>
        <sz val="12"/>
        <rFont val="標楷體"/>
        <family val="4"/>
        <charset val="136"/>
      </rPr>
      <t>，扣除加護單位及其他特殊單位（</t>
    </r>
    <r>
      <rPr>
        <sz val="12"/>
        <rFont val="Times New Roman"/>
        <family val="1"/>
      </rPr>
      <t>PSY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IR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DR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BR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RCC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OR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ER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HD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OPD</t>
    </r>
    <r>
      <rPr>
        <sz val="12"/>
        <rFont val="標楷體"/>
        <family val="4"/>
        <charset val="136"/>
      </rPr>
      <t>）
　　　</t>
    </r>
    <r>
      <rPr>
        <sz val="12"/>
        <rFont val="Times New Roman"/>
        <family val="1"/>
      </rPr>
      <t>(2)</t>
    </r>
    <r>
      <rPr>
        <sz val="12"/>
        <rFont val="標楷體"/>
        <family val="4"/>
        <charset val="136"/>
      </rPr>
      <t>加護病房：第一、第二、第三及第五加護病房
　　　</t>
    </r>
    <r>
      <rPr>
        <sz val="12"/>
        <rFont val="Times New Roman"/>
        <family val="1"/>
      </rPr>
      <t>(3)</t>
    </r>
    <r>
      <rPr>
        <sz val="12"/>
        <rFont val="標楷體"/>
        <family val="4"/>
        <charset val="136"/>
      </rPr>
      <t>成人加護病房：第一、第二、第三加護病房及</t>
    </r>
    <r>
      <rPr>
        <sz val="12"/>
        <rFont val="Times New Roman"/>
        <family val="1"/>
      </rPr>
      <t xml:space="preserve">RCC
</t>
    </r>
    <r>
      <rPr>
        <sz val="12"/>
        <rFont val="標楷體"/>
        <family val="4"/>
        <charset val="136"/>
      </rPr>
      <t>　　　</t>
    </r>
    <r>
      <rPr>
        <sz val="12"/>
        <rFont val="Times New Roman"/>
        <family val="1"/>
      </rPr>
      <t>(4)</t>
    </r>
    <r>
      <rPr>
        <sz val="12"/>
        <rFont val="標楷體"/>
        <family val="4"/>
        <charset val="136"/>
      </rPr>
      <t>住院期間：扣除無住院人日之單位（</t>
    </r>
    <r>
      <rPr>
        <sz val="12"/>
        <rFont val="Times New Roman"/>
        <family val="1"/>
      </rPr>
      <t>OR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ER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HD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OPD</t>
    </r>
    <r>
      <rPr>
        <sz val="12"/>
        <rFont val="標楷體"/>
        <family val="4"/>
        <charset val="136"/>
      </rPr>
      <t>）
　　　</t>
    </r>
    <r>
      <rPr>
        <sz val="12"/>
        <rFont val="Times New Roman"/>
        <family val="1"/>
      </rPr>
      <t>(5)</t>
    </r>
    <r>
      <rPr>
        <sz val="12"/>
        <rFont val="標楷體"/>
        <family val="4"/>
        <charset val="136"/>
      </rPr>
      <t>住院病人：包含「一般病床」及「特殊病床」，不含安寧及精神科病房</t>
    </r>
    <r>
      <rPr>
        <sz val="12"/>
        <rFont val="Times New Roman"/>
        <family val="1"/>
      </rPr>
      <t xml:space="preserve">
            (6)</t>
    </r>
    <r>
      <rPr>
        <sz val="12"/>
        <rFont val="標楷體"/>
        <family val="4"/>
        <charset val="136"/>
      </rPr>
      <t>其他規則列於分子</t>
    </r>
    <r>
      <rPr>
        <sz val="12"/>
        <rFont val="Times New Roman"/>
        <family val="1"/>
      </rPr>
      <t>&amp;</t>
    </r>
    <r>
      <rPr>
        <sz val="12"/>
        <rFont val="標楷體"/>
        <family val="4"/>
        <charset val="136"/>
      </rPr>
      <t>分母說明上</t>
    </r>
    <phoneticPr fontId="8" type="noConversion"/>
  </si>
  <si>
    <t>Chung Shan Medical University Hospital</t>
    <phoneticPr fontId="8" type="noConversion"/>
  </si>
  <si>
    <t>1/1</t>
    <phoneticPr fontId="8" type="noConversion"/>
  </si>
  <si>
    <t>A31000-Q16-F-B45</t>
  </si>
  <si>
    <r>
      <rPr>
        <b/>
        <sz val="14"/>
        <rFont val="標楷體"/>
        <family val="4"/>
        <charset val="136"/>
      </rPr>
      <t>中山醫學大學附設醫院</t>
    </r>
    <phoneticPr fontId="8" type="noConversion"/>
  </si>
  <si>
    <r>
      <rPr>
        <b/>
        <sz val="12"/>
        <color indexed="8"/>
        <rFont val="標楷體"/>
        <family val="4"/>
        <charset val="136"/>
      </rPr>
      <t>名稱</t>
    </r>
  </si>
  <si>
    <r>
      <rPr>
        <b/>
        <sz val="12"/>
        <rFont val="標楷體"/>
        <family val="4"/>
        <charset val="136"/>
      </rPr>
      <t>編</t>
    </r>
    <r>
      <rPr>
        <b/>
        <sz val="12"/>
        <rFont val="Times New Roman"/>
        <family val="1"/>
      </rPr>
      <t xml:space="preserve"> </t>
    </r>
    <r>
      <rPr>
        <b/>
        <sz val="12"/>
        <rFont val="標楷體"/>
        <family val="4"/>
        <charset val="136"/>
      </rPr>
      <t>號</t>
    </r>
  </si>
  <si>
    <r>
      <rPr>
        <b/>
        <sz val="12"/>
        <rFont val="標楷體"/>
        <family val="4"/>
        <charset val="136"/>
      </rPr>
      <t>版</t>
    </r>
    <r>
      <rPr>
        <b/>
        <sz val="12"/>
        <rFont val="Times New Roman"/>
        <family val="1"/>
      </rPr>
      <t xml:space="preserve"> </t>
    </r>
    <r>
      <rPr>
        <b/>
        <sz val="12"/>
        <rFont val="標楷體"/>
        <family val="4"/>
        <charset val="136"/>
      </rPr>
      <t>本</t>
    </r>
  </si>
  <si>
    <r>
      <rPr>
        <b/>
        <sz val="12"/>
        <color indexed="8"/>
        <rFont val="標楷體"/>
        <family val="4"/>
        <charset val="136"/>
      </rPr>
      <t>制定單位</t>
    </r>
    <phoneticPr fontId="8" type="noConversion"/>
  </si>
  <si>
    <r>
      <rPr>
        <sz val="10"/>
        <rFont val="標楷體"/>
        <family val="4"/>
        <charset val="136"/>
      </rPr>
      <t>護理部</t>
    </r>
    <phoneticPr fontId="8" type="noConversion"/>
  </si>
  <si>
    <r>
      <rPr>
        <b/>
        <sz val="12"/>
        <rFont val="標楷體"/>
        <family val="4"/>
        <charset val="136"/>
      </rPr>
      <t>修正日期</t>
    </r>
  </si>
  <si>
    <r>
      <rPr>
        <b/>
        <sz val="12"/>
        <rFont val="標楷體"/>
        <family val="4"/>
        <charset val="136"/>
      </rPr>
      <t>頁數</t>
    </r>
    <r>
      <rPr>
        <b/>
        <sz val="12"/>
        <rFont val="Times New Roman"/>
        <family val="1"/>
      </rPr>
      <t>/</t>
    </r>
    <r>
      <rPr>
        <b/>
        <sz val="12"/>
        <rFont val="標楷體"/>
        <family val="4"/>
        <charset val="136"/>
      </rPr>
      <t>總頁數</t>
    </r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</si>
  <si>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5.1</t>
    </r>
    <r>
      <rPr>
        <sz val="12"/>
        <rFont val="標楷體"/>
        <family val="4"/>
        <charset val="136"/>
      </rPr>
      <t>版</t>
    </r>
    <phoneticPr fontId="8" type="noConversion"/>
  </si>
  <si>
    <r>
      <t>111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11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>25</t>
    </r>
    <r>
      <rPr>
        <sz val="12"/>
        <rFont val="標楷體"/>
        <family val="4"/>
        <charset val="136"/>
      </rPr>
      <t>日</t>
    </r>
    <phoneticPr fontId="8" type="noConversion"/>
  </si>
  <si>
    <t>護理部品管指標監測計畫</t>
    <phoneticPr fontId="8" type="noConversion"/>
  </si>
  <si>
    <t>前三年指標結果</t>
    <phoneticPr fontId="8" type="noConversion"/>
  </si>
  <si>
    <r>
      <t xml:space="preserve">±1
</t>
    </r>
    <r>
      <rPr>
        <sz val="14"/>
        <rFont val="標楷體"/>
        <family val="4"/>
        <charset val="136"/>
      </rPr>
      <t>標準差</t>
    </r>
    <phoneticPr fontId="8" type="noConversion"/>
  </si>
  <si>
    <r>
      <t xml:space="preserve">±2
</t>
    </r>
    <r>
      <rPr>
        <sz val="14"/>
        <rFont val="標楷體"/>
        <family val="4"/>
        <charset val="136"/>
      </rPr>
      <t>標準差</t>
    </r>
    <phoneticPr fontId="8" type="noConversion"/>
  </si>
  <si>
    <r>
      <rPr>
        <b/>
        <sz val="12"/>
        <color rgb="FFFF0000"/>
        <rFont val="Times New Roman"/>
        <family val="1"/>
      </rPr>
      <t>XXX</t>
    </r>
    <r>
      <rPr>
        <b/>
        <sz val="12"/>
        <rFont val="標楷體"/>
        <family val="4"/>
        <charset val="136"/>
      </rPr>
      <t>年
指標閾值</t>
    </r>
    <r>
      <rPr>
        <b/>
        <vertAlign val="superscript"/>
        <sz val="11"/>
        <color rgb="FFFF0000"/>
        <rFont val="標楷體"/>
        <family val="4"/>
        <charset val="136"/>
      </rPr>
      <t>註</t>
    </r>
    <r>
      <rPr>
        <b/>
        <vertAlign val="superscript"/>
        <sz val="11"/>
        <color rgb="FFFF0000"/>
        <rFont val="Times New Roman"/>
        <family val="1"/>
      </rPr>
      <t>3</t>
    </r>
    <phoneticPr fontId="8" type="noConversion"/>
  </si>
  <si>
    <r>
      <rPr>
        <sz val="20"/>
        <color rgb="FFFF0000"/>
        <rFont val="Times New Roman"/>
        <family val="1"/>
      </rPr>
      <t>XXX</t>
    </r>
    <r>
      <rPr>
        <sz val="20"/>
        <rFont val="標楷體"/>
        <family val="4"/>
        <charset val="136"/>
      </rPr>
      <t>年</t>
    </r>
    <phoneticPr fontId="8" type="noConversion"/>
  </si>
  <si>
    <t>前一年</t>
    <phoneticPr fontId="8" type="noConversion"/>
  </si>
  <si>
    <t>前2年</t>
    <phoneticPr fontId="8" type="noConversion"/>
  </si>
  <si>
    <t>前3年</t>
    <phoneticPr fontId="8" type="noConversion"/>
  </si>
  <si>
    <r>
      <t>XXX</t>
    </r>
    <r>
      <rPr>
        <b/>
        <sz val="12"/>
        <rFont val="標楷體"/>
        <family val="4"/>
        <charset val="136"/>
      </rPr>
      <t xml:space="preserve">年
</t>
    </r>
    <r>
      <rPr>
        <b/>
        <sz val="12"/>
        <rFont val="Times New Roman"/>
        <family val="1"/>
      </rPr>
      <t>±1</t>
    </r>
    <r>
      <rPr>
        <b/>
        <sz val="12"/>
        <rFont val="標楷體"/>
        <family val="4"/>
        <charset val="136"/>
      </rPr>
      <t>標準差</t>
    </r>
    <phoneticPr fontId="8" type="noConversion"/>
  </si>
  <si>
    <r>
      <t>XXX</t>
    </r>
    <r>
      <rPr>
        <b/>
        <sz val="12"/>
        <rFont val="標楷體"/>
        <family val="4"/>
        <charset val="136"/>
      </rPr>
      <t xml:space="preserve">年
</t>
    </r>
    <r>
      <rPr>
        <b/>
        <sz val="12"/>
        <rFont val="Times New Roman"/>
        <family val="1"/>
      </rPr>
      <t>±2</t>
    </r>
    <r>
      <rPr>
        <b/>
        <sz val="12"/>
        <rFont val="標楷體"/>
        <family val="4"/>
        <charset val="136"/>
      </rPr>
      <t>標準差</t>
    </r>
    <phoneticPr fontId="8" type="noConversion"/>
  </si>
  <si>
    <t>中山醫
前1年</t>
    <phoneticPr fontId="8" type="noConversion"/>
  </si>
  <si>
    <r>
      <rPr>
        <b/>
        <sz val="12"/>
        <rFont val="標楷體"/>
        <family val="4"/>
        <charset val="136"/>
      </rPr>
      <t>中山醫
前</t>
    </r>
    <r>
      <rPr>
        <b/>
        <sz val="12"/>
        <rFont val="Times New Roman"/>
        <family val="1"/>
      </rPr>
      <t>2</t>
    </r>
    <r>
      <rPr>
        <b/>
        <sz val="12"/>
        <rFont val="標楷體"/>
        <family val="4"/>
        <charset val="136"/>
      </rPr>
      <t>年</t>
    </r>
    <phoneticPr fontId="8" type="noConversion"/>
  </si>
  <si>
    <r>
      <rPr>
        <b/>
        <sz val="12"/>
        <rFont val="標楷體"/>
        <family val="4"/>
        <charset val="136"/>
      </rPr>
      <t>中山</t>
    </r>
    <r>
      <rPr>
        <b/>
        <sz val="12"/>
        <rFont val="新細明體"/>
        <family val="4"/>
        <charset val="136"/>
      </rPr>
      <t>醫</t>
    </r>
    <r>
      <rPr>
        <b/>
        <sz val="12"/>
        <rFont val="標楷體"/>
        <family val="4"/>
        <charset val="136"/>
      </rPr>
      <t xml:space="preserve">
前</t>
    </r>
    <r>
      <rPr>
        <b/>
        <sz val="12"/>
        <rFont val="Times New Roman"/>
        <family val="1"/>
      </rPr>
      <t>3</t>
    </r>
    <r>
      <rPr>
        <b/>
        <sz val="12"/>
        <rFont val="標楷體"/>
        <family val="4"/>
        <charset val="136"/>
      </rPr>
      <t>年</t>
    </r>
    <phoneticPr fontId="8" type="noConversion"/>
  </si>
  <si>
    <r>
      <rPr>
        <b/>
        <sz val="12"/>
        <rFont val="標楷體"/>
        <family val="4"/>
        <charset val="136"/>
      </rPr>
      <t xml:space="preserve">醫中
</t>
    </r>
    <r>
      <rPr>
        <b/>
        <sz val="12"/>
        <color rgb="FFFF0000"/>
        <rFont val="Times New Roman"/>
        <family val="1"/>
      </rPr>
      <t>111</t>
    </r>
    <r>
      <rPr>
        <b/>
        <sz val="12"/>
        <rFont val="標楷體"/>
        <family val="4"/>
        <charset val="136"/>
      </rPr>
      <t>年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</si>
</sst>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00_);[Red]\(0.000\)"/>
  </numFmts>
  <fonts count="42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12"/>
      <name val="標楷體"/>
      <family val="4"/>
      <charset val="136"/>
    </font>
    <font>
      <sz val="20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color rgb="FF0000CC"/>
      <name val="標楷體"/>
      <family val="4"/>
      <charset val="136"/>
    </font>
    <font>
      <sz val="12"/>
      <color rgb="FF0000CC"/>
      <name val="標楷體"/>
      <family val="4"/>
      <charset val="136"/>
    </font>
    <font>
      <sz val="12"/>
      <color indexed="8"/>
      <name val="標楷體"/>
      <family val="4"/>
      <charset val="136"/>
    </font>
    <font>
      <sz val="20"/>
      <name val="Times New Roman"/>
      <family val="1"/>
    </font>
    <font>
      <b/>
      <sz val="12"/>
      <name val="Times New Roman"/>
      <family val="1"/>
    </font>
    <font>
      <b/>
      <sz val="12"/>
      <color rgb="FF0000CC"/>
      <name val="Times New Roman"/>
      <family val="1"/>
    </font>
    <font>
      <sz val="12"/>
      <color rgb="FF0000CC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vertAlign val="superscript"/>
      <sz val="11"/>
      <color rgb="FFFF0000"/>
      <name val="標楷體"/>
      <family val="4"/>
      <charset val="136"/>
    </font>
    <font>
      <b/>
      <vertAlign val="superscript"/>
      <sz val="11"/>
      <color rgb="FFFF0000"/>
      <name val="Times New Roman"/>
      <family val="1"/>
    </font>
    <font>
      <b/>
      <sz val="12"/>
      <color indexed="8"/>
      <name val="Times New Roman"/>
      <family val="1"/>
    </font>
    <font>
      <u/>
      <sz val="12"/>
      <name val="Times New Roman"/>
      <family val="1"/>
    </font>
    <font>
      <u/>
      <sz val="12"/>
      <name val="標楷體"/>
      <family val="4"/>
      <charset val="136"/>
    </font>
    <font>
      <sz val="12"/>
      <color rgb="FF0000FF"/>
      <name val="Times New Roman"/>
      <family val="1"/>
    </font>
    <font>
      <b/>
      <sz val="12"/>
      <color indexed="8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b/>
      <sz val="12"/>
      <color rgb="FFFF0000"/>
      <name val="Times New Roman"/>
      <family val="1"/>
    </font>
    <font>
      <sz val="14"/>
      <name val="標楷體"/>
      <family val="4"/>
      <charset val="136"/>
    </font>
    <font>
      <sz val="20"/>
      <color rgb="FFFF0000"/>
      <name val="Times New Roman"/>
      <family val="1"/>
    </font>
    <font>
      <b/>
      <sz val="12"/>
      <name val="微軟正黑體"/>
      <family val="2"/>
      <charset val="136"/>
    </font>
    <font>
      <b/>
      <sz val="12"/>
      <name val="Times New Roman"/>
      <family val="4"/>
      <charset val="136"/>
    </font>
    <font>
      <b/>
      <sz val="12"/>
      <name val="新細明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8EE"/>
        <bgColor indexed="64"/>
      </patternFill>
    </fill>
    <fill>
      <patternFill patternType="solid">
        <fgColor rgb="FFE9E5EF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7" fillId="0" borderId="0"/>
    <xf numFmtId="0" fontId="6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5" fillId="0" borderId="0">
      <alignment vertical="center"/>
    </xf>
    <xf numFmtId="0" fontId="10" fillId="0" borderId="0"/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127">
    <xf numFmtId="0" fontId="0" fillId="0" borderId="0" xfId="0"/>
    <xf numFmtId="0" fontId="12" fillId="0" borderId="0" xfId="0" applyFont="1"/>
    <xf numFmtId="0" fontId="11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15" xfId="0" applyFont="1" applyBorder="1" applyAlignment="1">
      <alignment horizontal="center" vertical="center" shrinkToFit="1"/>
    </xf>
    <xf numFmtId="0" fontId="25" fillId="0" borderId="3" xfId="0" applyFont="1" applyFill="1" applyBorder="1" applyAlignment="1">
      <alignment horizontal="center" vertical="center"/>
    </xf>
    <xf numFmtId="10" fontId="11" fillId="0" borderId="0" xfId="18" applyNumberFormat="1" applyFont="1" applyAlignment="1">
      <alignment horizontal="center" vertical="center"/>
    </xf>
    <xf numFmtId="0" fontId="11" fillId="0" borderId="4" xfId="0" applyFont="1" applyBorder="1" applyAlignment="1">
      <alignment horizontal="center" vertical="center" shrinkToFit="1"/>
    </xf>
    <xf numFmtId="0" fontId="11" fillId="0" borderId="0" xfId="0" applyFont="1" applyAlignment="1"/>
    <xf numFmtId="0" fontId="11" fillId="0" borderId="0" xfId="0" applyFont="1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177" fontId="17" fillId="6" borderId="4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33" fillId="0" borderId="9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177" fontId="22" fillId="5" borderId="18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vertical="center" shrinkToFit="1"/>
    </xf>
    <xf numFmtId="0" fontId="11" fillId="0" borderId="4" xfId="0" applyFont="1" applyFill="1" applyBorder="1" applyAlignment="1">
      <alignment vertical="center" shrinkToFit="1"/>
    </xf>
    <xf numFmtId="0" fontId="12" fillId="7" borderId="1" xfId="0" applyFont="1" applyFill="1" applyBorder="1" applyAlignment="1">
      <alignment horizontal="center" vertical="center" wrapText="1"/>
    </xf>
    <xf numFmtId="0" fontId="15" fillId="0" borderId="15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5" fillId="0" borderId="15" xfId="0" applyFont="1" applyFill="1" applyBorder="1" applyAlignment="1" applyProtection="1">
      <alignment vertical="center" shrinkToFit="1"/>
      <protection locked="0"/>
    </xf>
    <xf numFmtId="0" fontId="11" fillId="0" borderId="15" xfId="0" applyFont="1" applyFill="1" applyBorder="1" applyAlignment="1">
      <alignment vertical="center" shrinkToFit="1"/>
    </xf>
    <xf numFmtId="177" fontId="32" fillId="8" borderId="16" xfId="0" applyNumberFormat="1" applyFont="1" applyFill="1" applyBorder="1" applyAlignment="1">
      <alignment horizontal="center" vertical="center" wrapText="1"/>
    </xf>
    <xf numFmtId="177" fontId="32" fillId="8" borderId="8" xfId="0" applyNumberFormat="1" applyFont="1" applyFill="1" applyBorder="1" applyAlignment="1">
      <alignment horizontal="center" vertical="center" wrapText="1"/>
    </xf>
    <xf numFmtId="177" fontId="11" fillId="2" borderId="16" xfId="0" applyNumberFormat="1" applyFont="1" applyFill="1" applyBorder="1" applyAlignment="1">
      <alignment horizontal="center" vertical="center"/>
    </xf>
    <xf numFmtId="177" fontId="11" fillId="2" borderId="18" xfId="0" applyNumberFormat="1" applyFont="1" applyFill="1" applyBorder="1" applyAlignment="1">
      <alignment horizontal="center" vertical="center"/>
    </xf>
    <xf numFmtId="176" fontId="11" fillId="6" borderId="16" xfId="0" applyNumberFormat="1" applyFont="1" applyFill="1" applyBorder="1" applyAlignment="1">
      <alignment horizontal="center" vertical="center"/>
    </xf>
    <xf numFmtId="176" fontId="11" fillId="6" borderId="8" xfId="0" applyNumberFormat="1" applyFont="1" applyFill="1" applyBorder="1" applyAlignment="1">
      <alignment horizontal="center" vertical="center"/>
    </xf>
    <xf numFmtId="177" fontId="11" fillId="6" borderId="16" xfId="0" applyNumberFormat="1" applyFont="1" applyFill="1" applyBorder="1" applyAlignment="1">
      <alignment horizontal="center" vertical="center"/>
    </xf>
    <xf numFmtId="177" fontId="11" fillId="6" borderId="8" xfId="0" applyNumberFormat="1" applyFont="1" applyFill="1" applyBorder="1" applyAlignment="1">
      <alignment horizontal="center" vertical="center"/>
    </xf>
    <xf numFmtId="177" fontId="15" fillId="5" borderId="16" xfId="0" applyNumberFormat="1" applyFont="1" applyFill="1" applyBorder="1" applyAlignment="1">
      <alignment horizontal="center" vertical="center" wrapText="1"/>
    </xf>
    <xf numFmtId="177" fontId="15" fillId="5" borderId="18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39" fillId="9" borderId="3" xfId="0" applyFont="1" applyFill="1" applyBorder="1" applyAlignment="1">
      <alignment horizontal="center" vertical="center" wrapText="1"/>
    </xf>
    <xf numFmtId="0" fontId="39" fillId="9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vertical="center" wrapText="1"/>
    </xf>
    <xf numFmtId="177" fontId="15" fillId="5" borderId="8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 applyProtection="1">
      <alignment vertical="center" shrinkToFit="1"/>
      <protection locked="0"/>
    </xf>
    <xf numFmtId="0" fontId="11" fillId="0" borderId="17" xfId="0" applyFont="1" applyFill="1" applyBorder="1" applyAlignment="1">
      <alignment horizontal="left" vertical="center" wrapText="1"/>
    </xf>
    <xf numFmtId="0" fontId="11" fillId="0" borderId="16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177" fontId="32" fillId="8" borderId="18" xfId="0" applyNumberFormat="1" applyFont="1" applyFill="1" applyBorder="1" applyAlignment="1">
      <alignment horizontal="center" vertical="center" wrapText="1"/>
    </xf>
    <xf numFmtId="176" fontId="11" fillId="6" borderId="18" xfId="0" applyNumberFormat="1" applyFont="1" applyFill="1" applyBorder="1" applyAlignment="1">
      <alignment horizontal="center" vertical="center"/>
    </xf>
    <xf numFmtId="177" fontId="11" fillId="6" borderId="18" xfId="0" applyNumberFormat="1" applyFont="1" applyFill="1" applyBorder="1" applyAlignment="1">
      <alignment horizontal="center" vertical="center"/>
    </xf>
    <xf numFmtId="177" fontId="11" fillId="5" borderId="16" xfId="0" applyNumberFormat="1" applyFont="1" applyFill="1" applyBorder="1" applyAlignment="1">
      <alignment horizontal="center" vertical="center" wrapText="1"/>
    </xf>
    <xf numFmtId="177" fontId="11" fillId="5" borderId="8" xfId="0" applyNumberFormat="1" applyFont="1" applyFill="1" applyBorder="1" applyAlignment="1">
      <alignment horizontal="center" vertical="center" wrapText="1"/>
    </xf>
    <xf numFmtId="0" fontId="15" fillId="0" borderId="17" xfId="0" applyFont="1" applyFill="1" applyBorder="1" applyAlignment="1" applyProtection="1">
      <alignment vertical="center" shrinkToFit="1"/>
      <protection locked="0"/>
    </xf>
    <xf numFmtId="0" fontId="11" fillId="0" borderId="17" xfId="0" applyFont="1" applyFill="1" applyBorder="1" applyAlignment="1">
      <alignment vertical="center" shrinkToFit="1"/>
    </xf>
    <xf numFmtId="178" fontId="11" fillId="2" borderId="16" xfId="0" applyNumberFormat="1" applyFont="1" applyFill="1" applyBorder="1" applyAlignment="1">
      <alignment horizontal="center" vertical="center"/>
    </xf>
    <xf numFmtId="178" fontId="11" fillId="2" borderId="18" xfId="0" applyNumberFormat="1" applyFont="1" applyFill="1" applyBorder="1" applyAlignment="1">
      <alignment horizontal="center" vertical="center"/>
    </xf>
    <xf numFmtId="177" fontId="11" fillId="5" borderId="18" xfId="0" applyNumberFormat="1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vertical="center" shrinkToFit="1"/>
    </xf>
    <xf numFmtId="0" fontId="11" fillId="0" borderId="19" xfId="0" applyFont="1" applyFill="1" applyBorder="1" applyAlignment="1" applyProtection="1">
      <alignment vertical="center" shrinkToFit="1"/>
      <protection locked="0"/>
    </xf>
    <xf numFmtId="0" fontId="11" fillId="0" borderId="20" xfId="0" applyFont="1" applyFill="1" applyBorder="1" applyAlignment="1" applyProtection="1">
      <alignment vertical="center" shrinkToFit="1"/>
      <protection locked="0"/>
    </xf>
    <xf numFmtId="0" fontId="11" fillId="0" borderId="8" xfId="0" applyFont="1" applyBorder="1" applyAlignment="1">
      <alignment horizontal="center" vertical="center" shrinkToFit="1"/>
    </xf>
    <xf numFmtId="0" fontId="19" fillId="0" borderId="18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 applyProtection="1">
      <alignment vertical="center" shrinkToFit="1"/>
      <protection locked="0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Border="1" applyAlignment="1"/>
    <xf numFmtId="177" fontId="40" fillId="6" borderId="4" xfId="0" applyNumberFormat="1" applyFont="1" applyFill="1" applyBorder="1" applyAlignment="1">
      <alignment horizontal="center" vertical="center" wrapText="1"/>
    </xf>
    <xf numFmtId="177" fontId="40" fillId="5" borderId="4" xfId="0" applyNumberFormat="1" applyFont="1" applyFill="1" applyBorder="1" applyAlignment="1">
      <alignment horizontal="center" vertical="center" wrapText="1"/>
    </xf>
  </cellXfs>
  <cellStyles count="19">
    <cellStyle name="Normal_pChart" xfId="7" xr:uid="{00000000-0005-0000-0000-000000000000}"/>
    <cellStyle name="一般" xfId="0" builtinId="0"/>
    <cellStyle name="一般 13" xfId="3" xr:uid="{00000000-0005-0000-0000-000002000000}"/>
    <cellStyle name="一般 2" xfId="1" xr:uid="{00000000-0005-0000-0000-000003000000}"/>
    <cellStyle name="一般 3" xfId="2" xr:uid="{00000000-0005-0000-0000-000004000000}"/>
    <cellStyle name="一般 3 2" xfId="9" xr:uid="{00000000-0005-0000-0000-000005000000}"/>
    <cellStyle name="一般 3 3" xfId="10" xr:uid="{00000000-0005-0000-0000-000006000000}"/>
    <cellStyle name="一般 3 3 2" xfId="15" xr:uid="{00000000-0005-0000-0000-000007000000}"/>
    <cellStyle name="一般 3 4" xfId="11" xr:uid="{00000000-0005-0000-0000-000008000000}"/>
    <cellStyle name="一般 3 4 2" xfId="16" xr:uid="{00000000-0005-0000-0000-000009000000}"/>
    <cellStyle name="一般 3 5" xfId="12" xr:uid="{00000000-0005-0000-0000-00000A000000}"/>
    <cellStyle name="一般 3 5 2" xfId="17" xr:uid="{00000000-0005-0000-0000-00000B000000}"/>
    <cellStyle name="一般 3 6" xfId="13" xr:uid="{00000000-0005-0000-0000-00000C000000}"/>
    <cellStyle name="一般 4" xfId="4" xr:uid="{00000000-0005-0000-0000-00000D000000}"/>
    <cellStyle name="一般 5" xfId="5" xr:uid="{00000000-0005-0000-0000-00000E000000}"/>
    <cellStyle name="一般 6" xfId="6" xr:uid="{00000000-0005-0000-0000-00000F000000}"/>
    <cellStyle name="一般 6 2" xfId="14" xr:uid="{00000000-0005-0000-0000-000010000000}"/>
    <cellStyle name="百分比" xfId="18" builtinId="5"/>
    <cellStyle name="百分比 2" xfId="8" xr:uid="{00000000-0005-0000-0000-000012000000}"/>
  </cellStyles>
  <dxfs count="0"/>
  <tableStyles count="0" defaultTableStyle="TableStyleMedium2" defaultPivotStyle="PivotStyleLight16"/>
  <colors>
    <mruColors>
      <color rgb="FFFFFFCC"/>
      <color rgb="FFE9E5EF"/>
      <color rgb="FFF5F8EE"/>
      <color rgb="FFFFFF99"/>
      <color rgb="FFEDEAF2"/>
      <color rgb="FFFFFFFF"/>
      <color rgb="FF0000FF"/>
      <color rgb="FF0000CC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721179</xdr:colOff>
      <xdr:row>9</xdr:row>
      <xdr:rowOff>231321</xdr:rowOff>
    </xdr:from>
    <xdr:to>
      <xdr:col>12</xdr:col>
      <xdr:colOff>258537</xdr:colOff>
      <xdr:row>18</xdr:row>
      <xdr:rowOff>190499</xdr:rowOff>
    </xdr:to>
    <xdr:sp macro="" textlink="">
      <xdr:nvSpPr>
        <xdr:cNvPr id="2" name="圓角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946322" y="2748642"/>
          <a:ext cx="7116536" cy="2653393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1.</a:t>
          </a:r>
          <a:r>
            <a:rPr lang="zh-TW" altLang="en-US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製表時間：每年年初</a:t>
          </a:r>
          <a:endParaRPr lang="en-US" altLang="zh-TW" sz="20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l"/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2.</a:t>
          </a:r>
          <a:r>
            <a:rPr lang="zh-TW" altLang="en-US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紅字</a:t>
          </a:r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XXX</a:t>
          </a:r>
          <a:r>
            <a:rPr lang="zh-TW" altLang="en-US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處填入當年年份</a:t>
          </a:r>
          <a:endParaRPr lang="en-US" altLang="zh-TW" sz="20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l"/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3.</a:t>
          </a:r>
          <a:r>
            <a:rPr lang="zh-TW" altLang="en-US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淡橘色欄位：呈現前一年份與數據</a:t>
          </a:r>
          <a:endParaRPr lang="en-US" altLang="zh-TW" sz="20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l"/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4.</a:t>
          </a:r>
          <a:r>
            <a:rPr lang="zh-TW" altLang="en-US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黃色欄位：呈現前三年年份與數據</a:t>
          </a:r>
          <a:endParaRPr lang="en-US" altLang="zh-TW" sz="20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l"/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5.</a:t>
          </a:r>
          <a:r>
            <a:rPr lang="zh-TW" altLang="en-US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前</a:t>
          </a:r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3</a:t>
          </a:r>
          <a:r>
            <a:rPr lang="zh-TW" altLang="en-US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年指標結果欄位：會自動帶入淡黃色前</a:t>
          </a:r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3</a:t>
          </a:r>
          <a:r>
            <a:rPr lang="zh-TW" altLang="en-US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年欄位數據</a:t>
          </a:r>
          <a:endParaRPr lang="en-US" altLang="zh-TW" sz="20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</sheetPr>
  <dimension ref="A1:T29"/>
  <sheetViews>
    <sheetView tabSelected="1" zoomScale="70" zoomScaleNormal="70" zoomScaleSheetLayoutView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V13" sqref="V13"/>
    </sheetView>
  </sheetViews>
  <sheetFormatPr defaultRowHeight="15.75" x14ac:dyDescent="0.25"/>
  <cols>
    <col min="1" max="1" width="10.625" style="13" customWidth="1"/>
    <col min="2" max="2" width="20.625" style="13" customWidth="1"/>
    <col min="3" max="4" width="18.625" style="13" customWidth="1"/>
    <col min="5" max="5" width="18.625" style="3" customWidth="1"/>
    <col min="6" max="7" width="12.625" style="3" customWidth="1"/>
    <col min="8" max="8" width="12.625" style="13" customWidth="1"/>
    <col min="9" max="9" width="10.625" style="13" customWidth="1"/>
    <col min="10" max="11" width="10.625" style="5" customWidth="1"/>
    <col min="12" max="12" width="10.625" style="6" customWidth="1"/>
    <col min="13" max="13" width="12.625" style="3" customWidth="1"/>
    <col min="14" max="14" width="12.625" style="4" customWidth="1"/>
    <col min="15" max="18" width="9.75" style="3" customWidth="1"/>
    <col min="19" max="19" width="10.25" style="3" customWidth="1"/>
    <col min="20" max="20" width="10.25" style="13" customWidth="1"/>
    <col min="21" max="235" width="9" style="13"/>
    <col min="236" max="236" width="23.125" style="13" customWidth="1"/>
    <col min="237" max="237" width="33.375" style="13" customWidth="1"/>
    <col min="238" max="238" width="15.25" style="13" customWidth="1"/>
    <col min="239" max="239" width="9.5" style="13" customWidth="1"/>
    <col min="240" max="240" width="9.625" style="13" customWidth="1"/>
    <col min="241" max="241" width="10.875" style="13" customWidth="1"/>
    <col min="242" max="242" width="10.75" style="13" customWidth="1"/>
    <col min="243" max="243" width="10.5" style="13" customWidth="1"/>
    <col min="244" max="244" width="10.875" style="13" customWidth="1"/>
    <col min="245" max="245" width="14.875" style="13" customWidth="1"/>
    <col min="246" max="491" width="9" style="13"/>
    <col min="492" max="492" width="23.125" style="13" customWidth="1"/>
    <col min="493" max="493" width="33.375" style="13" customWidth="1"/>
    <col min="494" max="494" width="15.25" style="13" customWidth="1"/>
    <col min="495" max="495" width="9.5" style="13" customWidth="1"/>
    <col min="496" max="496" width="9.625" style="13" customWidth="1"/>
    <col min="497" max="497" width="10.875" style="13" customWidth="1"/>
    <col min="498" max="498" width="10.75" style="13" customWidth="1"/>
    <col min="499" max="499" width="10.5" style="13" customWidth="1"/>
    <col min="500" max="500" width="10.875" style="13" customWidth="1"/>
    <col min="501" max="501" width="14.875" style="13" customWidth="1"/>
    <col min="502" max="747" width="9" style="13"/>
    <col min="748" max="748" width="23.125" style="13" customWidth="1"/>
    <col min="749" max="749" width="33.375" style="13" customWidth="1"/>
    <col min="750" max="750" width="15.25" style="13" customWidth="1"/>
    <col min="751" max="751" width="9.5" style="13" customWidth="1"/>
    <col min="752" max="752" width="9.625" style="13" customWidth="1"/>
    <col min="753" max="753" width="10.875" style="13" customWidth="1"/>
    <col min="754" max="754" width="10.75" style="13" customWidth="1"/>
    <col min="755" max="755" width="10.5" style="13" customWidth="1"/>
    <col min="756" max="756" width="10.875" style="13" customWidth="1"/>
    <col min="757" max="757" width="14.875" style="13" customWidth="1"/>
    <col min="758" max="1003" width="9" style="13"/>
    <col min="1004" max="1004" width="23.125" style="13" customWidth="1"/>
    <col min="1005" max="1005" width="33.375" style="13" customWidth="1"/>
    <col min="1006" max="1006" width="15.25" style="13" customWidth="1"/>
    <col min="1007" max="1007" width="9.5" style="13" customWidth="1"/>
    <col min="1008" max="1008" width="9.625" style="13" customWidth="1"/>
    <col min="1009" max="1009" width="10.875" style="13" customWidth="1"/>
    <col min="1010" max="1010" width="10.75" style="13" customWidth="1"/>
    <col min="1011" max="1011" width="10.5" style="13" customWidth="1"/>
    <col min="1012" max="1012" width="10.875" style="13" customWidth="1"/>
    <col min="1013" max="1013" width="14.875" style="13" customWidth="1"/>
    <col min="1014" max="1259" width="9" style="13"/>
    <col min="1260" max="1260" width="23.125" style="13" customWidth="1"/>
    <col min="1261" max="1261" width="33.375" style="13" customWidth="1"/>
    <col min="1262" max="1262" width="15.25" style="13" customWidth="1"/>
    <col min="1263" max="1263" width="9.5" style="13" customWidth="1"/>
    <col min="1264" max="1264" width="9.625" style="13" customWidth="1"/>
    <col min="1265" max="1265" width="10.875" style="13" customWidth="1"/>
    <col min="1266" max="1266" width="10.75" style="13" customWidth="1"/>
    <col min="1267" max="1267" width="10.5" style="13" customWidth="1"/>
    <col min="1268" max="1268" width="10.875" style="13" customWidth="1"/>
    <col min="1269" max="1269" width="14.875" style="13" customWidth="1"/>
    <col min="1270" max="1515" width="9" style="13"/>
    <col min="1516" max="1516" width="23.125" style="13" customWidth="1"/>
    <col min="1517" max="1517" width="33.375" style="13" customWidth="1"/>
    <col min="1518" max="1518" width="15.25" style="13" customWidth="1"/>
    <col min="1519" max="1519" width="9.5" style="13" customWidth="1"/>
    <col min="1520" max="1520" width="9.625" style="13" customWidth="1"/>
    <col min="1521" max="1521" width="10.875" style="13" customWidth="1"/>
    <col min="1522" max="1522" width="10.75" style="13" customWidth="1"/>
    <col min="1523" max="1523" width="10.5" style="13" customWidth="1"/>
    <col min="1524" max="1524" width="10.875" style="13" customWidth="1"/>
    <col min="1525" max="1525" width="14.875" style="13" customWidth="1"/>
    <col min="1526" max="1771" width="9" style="13"/>
    <col min="1772" max="1772" width="23.125" style="13" customWidth="1"/>
    <col min="1773" max="1773" width="33.375" style="13" customWidth="1"/>
    <col min="1774" max="1774" width="15.25" style="13" customWidth="1"/>
    <col min="1775" max="1775" width="9.5" style="13" customWidth="1"/>
    <col min="1776" max="1776" width="9.625" style="13" customWidth="1"/>
    <col min="1777" max="1777" width="10.875" style="13" customWidth="1"/>
    <col min="1778" max="1778" width="10.75" style="13" customWidth="1"/>
    <col min="1779" max="1779" width="10.5" style="13" customWidth="1"/>
    <col min="1780" max="1780" width="10.875" style="13" customWidth="1"/>
    <col min="1781" max="1781" width="14.875" style="13" customWidth="1"/>
    <col min="1782" max="2027" width="9" style="13"/>
    <col min="2028" max="2028" width="23.125" style="13" customWidth="1"/>
    <col min="2029" max="2029" width="33.375" style="13" customWidth="1"/>
    <col min="2030" max="2030" width="15.25" style="13" customWidth="1"/>
    <col min="2031" max="2031" width="9.5" style="13" customWidth="1"/>
    <col min="2032" max="2032" width="9.625" style="13" customWidth="1"/>
    <col min="2033" max="2033" width="10.875" style="13" customWidth="1"/>
    <col min="2034" max="2034" width="10.75" style="13" customWidth="1"/>
    <col min="2035" max="2035" width="10.5" style="13" customWidth="1"/>
    <col min="2036" max="2036" width="10.875" style="13" customWidth="1"/>
    <col min="2037" max="2037" width="14.875" style="13" customWidth="1"/>
    <col min="2038" max="2283" width="9" style="13"/>
    <col min="2284" max="2284" width="23.125" style="13" customWidth="1"/>
    <col min="2285" max="2285" width="33.375" style="13" customWidth="1"/>
    <col min="2286" max="2286" width="15.25" style="13" customWidth="1"/>
    <col min="2287" max="2287" width="9.5" style="13" customWidth="1"/>
    <col min="2288" max="2288" width="9.625" style="13" customWidth="1"/>
    <col min="2289" max="2289" width="10.875" style="13" customWidth="1"/>
    <col min="2290" max="2290" width="10.75" style="13" customWidth="1"/>
    <col min="2291" max="2291" width="10.5" style="13" customWidth="1"/>
    <col min="2292" max="2292" width="10.875" style="13" customWidth="1"/>
    <col min="2293" max="2293" width="14.875" style="13" customWidth="1"/>
    <col min="2294" max="2539" width="9" style="13"/>
    <col min="2540" max="2540" width="23.125" style="13" customWidth="1"/>
    <col min="2541" max="2541" width="33.375" style="13" customWidth="1"/>
    <col min="2542" max="2542" width="15.25" style="13" customWidth="1"/>
    <col min="2543" max="2543" width="9.5" style="13" customWidth="1"/>
    <col min="2544" max="2544" width="9.625" style="13" customWidth="1"/>
    <col min="2545" max="2545" width="10.875" style="13" customWidth="1"/>
    <col min="2546" max="2546" width="10.75" style="13" customWidth="1"/>
    <col min="2547" max="2547" width="10.5" style="13" customWidth="1"/>
    <col min="2548" max="2548" width="10.875" style="13" customWidth="1"/>
    <col min="2549" max="2549" width="14.875" style="13" customWidth="1"/>
    <col min="2550" max="2795" width="9" style="13"/>
    <col min="2796" max="2796" width="23.125" style="13" customWidth="1"/>
    <col min="2797" max="2797" width="33.375" style="13" customWidth="1"/>
    <col min="2798" max="2798" width="15.25" style="13" customWidth="1"/>
    <col min="2799" max="2799" width="9.5" style="13" customWidth="1"/>
    <col min="2800" max="2800" width="9.625" style="13" customWidth="1"/>
    <col min="2801" max="2801" width="10.875" style="13" customWidth="1"/>
    <col min="2802" max="2802" width="10.75" style="13" customWidth="1"/>
    <col min="2803" max="2803" width="10.5" style="13" customWidth="1"/>
    <col min="2804" max="2804" width="10.875" style="13" customWidth="1"/>
    <col min="2805" max="2805" width="14.875" style="13" customWidth="1"/>
    <col min="2806" max="3051" width="9" style="13"/>
    <col min="3052" max="3052" width="23.125" style="13" customWidth="1"/>
    <col min="3053" max="3053" width="33.375" style="13" customWidth="1"/>
    <col min="3054" max="3054" width="15.25" style="13" customWidth="1"/>
    <col min="3055" max="3055" width="9.5" style="13" customWidth="1"/>
    <col min="3056" max="3056" width="9.625" style="13" customWidth="1"/>
    <col min="3057" max="3057" width="10.875" style="13" customWidth="1"/>
    <col min="3058" max="3058" width="10.75" style="13" customWidth="1"/>
    <col min="3059" max="3059" width="10.5" style="13" customWidth="1"/>
    <col min="3060" max="3060" width="10.875" style="13" customWidth="1"/>
    <col min="3061" max="3061" width="14.875" style="13" customWidth="1"/>
    <col min="3062" max="3307" width="9" style="13"/>
    <col min="3308" max="3308" width="23.125" style="13" customWidth="1"/>
    <col min="3309" max="3309" width="33.375" style="13" customWidth="1"/>
    <col min="3310" max="3310" width="15.25" style="13" customWidth="1"/>
    <col min="3311" max="3311" width="9.5" style="13" customWidth="1"/>
    <col min="3312" max="3312" width="9.625" style="13" customWidth="1"/>
    <col min="3313" max="3313" width="10.875" style="13" customWidth="1"/>
    <col min="3314" max="3314" width="10.75" style="13" customWidth="1"/>
    <col min="3315" max="3315" width="10.5" style="13" customWidth="1"/>
    <col min="3316" max="3316" width="10.875" style="13" customWidth="1"/>
    <col min="3317" max="3317" width="14.875" style="13" customWidth="1"/>
    <col min="3318" max="3563" width="9" style="13"/>
    <col min="3564" max="3564" width="23.125" style="13" customWidth="1"/>
    <col min="3565" max="3565" width="33.375" style="13" customWidth="1"/>
    <col min="3566" max="3566" width="15.25" style="13" customWidth="1"/>
    <col min="3567" max="3567" width="9.5" style="13" customWidth="1"/>
    <col min="3568" max="3568" width="9.625" style="13" customWidth="1"/>
    <col min="3569" max="3569" width="10.875" style="13" customWidth="1"/>
    <col min="3570" max="3570" width="10.75" style="13" customWidth="1"/>
    <col min="3571" max="3571" width="10.5" style="13" customWidth="1"/>
    <col min="3572" max="3572" width="10.875" style="13" customWidth="1"/>
    <col min="3573" max="3573" width="14.875" style="13" customWidth="1"/>
    <col min="3574" max="3819" width="9" style="13"/>
    <col min="3820" max="3820" width="23.125" style="13" customWidth="1"/>
    <col min="3821" max="3821" width="33.375" style="13" customWidth="1"/>
    <col min="3822" max="3822" width="15.25" style="13" customWidth="1"/>
    <col min="3823" max="3823" width="9.5" style="13" customWidth="1"/>
    <col min="3824" max="3824" width="9.625" style="13" customWidth="1"/>
    <col min="3825" max="3825" width="10.875" style="13" customWidth="1"/>
    <col min="3826" max="3826" width="10.75" style="13" customWidth="1"/>
    <col min="3827" max="3827" width="10.5" style="13" customWidth="1"/>
    <col min="3828" max="3828" width="10.875" style="13" customWidth="1"/>
    <col min="3829" max="3829" width="14.875" style="13" customWidth="1"/>
    <col min="3830" max="4075" width="9" style="13"/>
    <col min="4076" max="4076" width="23.125" style="13" customWidth="1"/>
    <col min="4077" max="4077" width="33.375" style="13" customWidth="1"/>
    <col min="4078" max="4078" width="15.25" style="13" customWidth="1"/>
    <col min="4079" max="4079" width="9.5" style="13" customWidth="1"/>
    <col min="4080" max="4080" width="9.625" style="13" customWidth="1"/>
    <col min="4081" max="4081" width="10.875" style="13" customWidth="1"/>
    <col min="4082" max="4082" width="10.75" style="13" customWidth="1"/>
    <col min="4083" max="4083" width="10.5" style="13" customWidth="1"/>
    <col min="4084" max="4084" width="10.875" style="13" customWidth="1"/>
    <col min="4085" max="4085" width="14.875" style="13" customWidth="1"/>
    <col min="4086" max="4331" width="9" style="13"/>
    <col min="4332" max="4332" width="23.125" style="13" customWidth="1"/>
    <col min="4333" max="4333" width="33.375" style="13" customWidth="1"/>
    <col min="4334" max="4334" width="15.25" style="13" customWidth="1"/>
    <col min="4335" max="4335" width="9.5" style="13" customWidth="1"/>
    <col min="4336" max="4336" width="9.625" style="13" customWidth="1"/>
    <col min="4337" max="4337" width="10.875" style="13" customWidth="1"/>
    <col min="4338" max="4338" width="10.75" style="13" customWidth="1"/>
    <col min="4339" max="4339" width="10.5" style="13" customWidth="1"/>
    <col min="4340" max="4340" width="10.875" style="13" customWidth="1"/>
    <col min="4341" max="4341" width="14.875" style="13" customWidth="1"/>
    <col min="4342" max="4587" width="9" style="13"/>
    <col min="4588" max="4588" width="23.125" style="13" customWidth="1"/>
    <col min="4589" max="4589" width="33.375" style="13" customWidth="1"/>
    <col min="4590" max="4590" width="15.25" style="13" customWidth="1"/>
    <col min="4591" max="4591" width="9.5" style="13" customWidth="1"/>
    <col min="4592" max="4592" width="9.625" style="13" customWidth="1"/>
    <col min="4593" max="4593" width="10.875" style="13" customWidth="1"/>
    <col min="4594" max="4594" width="10.75" style="13" customWidth="1"/>
    <col min="4595" max="4595" width="10.5" style="13" customWidth="1"/>
    <col min="4596" max="4596" width="10.875" style="13" customWidth="1"/>
    <col min="4597" max="4597" width="14.875" style="13" customWidth="1"/>
    <col min="4598" max="4843" width="9" style="13"/>
    <col min="4844" max="4844" width="23.125" style="13" customWidth="1"/>
    <col min="4845" max="4845" width="33.375" style="13" customWidth="1"/>
    <col min="4846" max="4846" width="15.25" style="13" customWidth="1"/>
    <col min="4847" max="4847" width="9.5" style="13" customWidth="1"/>
    <col min="4848" max="4848" width="9.625" style="13" customWidth="1"/>
    <col min="4849" max="4849" width="10.875" style="13" customWidth="1"/>
    <col min="4850" max="4850" width="10.75" style="13" customWidth="1"/>
    <col min="4851" max="4851" width="10.5" style="13" customWidth="1"/>
    <col min="4852" max="4852" width="10.875" style="13" customWidth="1"/>
    <col min="4853" max="4853" width="14.875" style="13" customWidth="1"/>
    <col min="4854" max="5099" width="9" style="13"/>
    <col min="5100" max="5100" width="23.125" style="13" customWidth="1"/>
    <col min="5101" max="5101" width="33.375" style="13" customWidth="1"/>
    <col min="5102" max="5102" width="15.25" style="13" customWidth="1"/>
    <col min="5103" max="5103" width="9.5" style="13" customWidth="1"/>
    <col min="5104" max="5104" width="9.625" style="13" customWidth="1"/>
    <col min="5105" max="5105" width="10.875" style="13" customWidth="1"/>
    <col min="5106" max="5106" width="10.75" style="13" customWidth="1"/>
    <col min="5107" max="5107" width="10.5" style="13" customWidth="1"/>
    <col min="5108" max="5108" width="10.875" style="13" customWidth="1"/>
    <col min="5109" max="5109" width="14.875" style="13" customWidth="1"/>
    <col min="5110" max="5355" width="9" style="13"/>
    <col min="5356" max="5356" width="23.125" style="13" customWidth="1"/>
    <col min="5357" max="5357" width="33.375" style="13" customWidth="1"/>
    <col min="5358" max="5358" width="15.25" style="13" customWidth="1"/>
    <col min="5359" max="5359" width="9.5" style="13" customWidth="1"/>
    <col min="5360" max="5360" width="9.625" style="13" customWidth="1"/>
    <col min="5361" max="5361" width="10.875" style="13" customWidth="1"/>
    <col min="5362" max="5362" width="10.75" style="13" customWidth="1"/>
    <col min="5363" max="5363" width="10.5" style="13" customWidth="1"/>
    <col min="5364" max="5364" width="10.875" style="13" customWidth="1"/>
    <col min="5365" max="5365" width="14.875" style="13" customWidth="1"/>
    <col min="5366" max="5611" width="9" style="13"/>
    <col min="5612" max="5612" width="23.125" style="13" customWidth="1"/>
    <col min="5613" max="5613" width="33.375" style="13" customWidth="1"/>
    <col min="5614" max="5614" width="15.25" style="13" customWidth="1"/>
    <col min="5615" max="5615" width="9.5" style="13" customWidth="1"/>
    <col min="5616" max="5616" width="9.625" style="13" customWidth="1"/>
    <col min="5617" max="5617" width="10.875" style="13" customWidth="1"/>
    <col min="5618" max="5618" width="10.75" style="13" customWidth="1"/>
    <col min="5619" max="5619" width="10.5" style="13" customWidth="1"/>
    <col min="5620" max="5620" width="10.875" style="13" customWidth="1"/>
    <col min="5621" max="5621" width="14.875" style="13" customWidth="1"/>
    <col min="5622" max="5867" width="9" style="13"/>
    <col min="5868" max="5868" width="23.125" style="13" customWidth="1"/>
    <col min="5869" max="5869" width="33.375" style="13" customWidth="1"/>
    <col min="5870" max="5870" width="15.25" style="13" customWidth="1"/>
    <col min="5871" max="5871" width="9.5" style="13" customWidth="1"/>
    <col min="5872" max="5872" width="9.625" style="13" customWidth="1"/>
    <col min="5873" max="5873" width="10.875" style="13" customWidth="1"/>
    <col min="5874" max="5874" width="10.75" style="13" customWidth="1"/>
    <col min="5875" max="5875" width="10.5" style="13" customWidth="1"/>
    <col min="5876" max="5876" width="10.875" style="13" customWidth="1"/>
    <col min="5877" max="5877" width="14.875" style="13" customWidth="1"/>
    <col min="5878" max="6123" width="9" style="13"/>
    <col min="6124" max="6124" width="23.125" style="13" customWidth="1"/>
    <col min="6125" max="6125" width="33.375" style="13" customWidth="1"/>
    <col min="6126" max="6126" width="15.25" style="13" customWidth="1"/>
    <col min="6127" max="6127" width="9.5" style="13" customWidth="1"/>
    <col min="6128" max="6128" width="9.625" style="13" customWidth="1"/>
    <col min="6129" max="6129" width="10.875" style="13" customWidth="1"/>
    <col min="6130" max="6130" width="10.75" style="13" customWidth="1"/>
    <col min="6131" max="6131" width="10.5" style="13" customWidth="1"/>
    <col min="6132" max="6132" width="10.875" style="13" customWidth="1"/>
    <col min="6133" max="6133" width="14.875" style="13" customWidth="1"/>
    <col min="6134" max="6379" width="9" style="13"/>
    <col min="6380" max="6380" width="23.125" style="13" customWidth="1"/>
    <col min="6381" max="6381" width="33.375" style="13" customWidth="1"/>
    <col min="6382" max="6382" width="15.25" style="13" customWidth="1"/>
    <col min="6383" max="6383" width="9.5" style="13" customWidth="1"/>
    <col min="6384" max="6384" width="9.625" style="13" customWidth="1"/>
    <col min="6385" max="6385" width="10.875" style="13" customWidth="1"/>
    <col min="6386" max="6386" width="10.75" style="13" customWidth="1"/>
    <col min="6387" max="6387" width="10.5" style="13" customWidth="1"/>
    <col min="6388" max="6388" width="10.875" style="13" customWidth="1"/>
    <col min="6389" max="6389" width="14.875" style="13" customWidth="1"/>
    <col min="6390" max="6635" width="9" style="13"/>
    <col min="6636" max="6636" width="23.125" style="13" customWidth="1"/>
    <col min="6637" max="6637" width="33.375" style="13" customWidth="1"/>
    <col min="6638" max="6638" width="15.25" style="13" customWidth="1"/>
    <col min="6639" max="6639" width="9.5" style="13" customWidth="1"/>
    <col min="6640" max="6640" width="9.625" style="13" customWidth="1"/>
    <col min="6641" max="6641" width="10.875" style="13" customWidth="1"/>
    <col min="6642" max="6642" width="10.75" style="13" customWidth="1"/>
    <col min="6643" max="6643" width="10.5" style="13" customWidth="1"/>
    <col min="6644" max="6644" width="10.875" style="13" customWidth="1"/>
    <col min="6645" max="6645" width="14.875" style="13" customWidth="1"/>
    <col min="6646" max="6891" width="9" style="13"/>
    <col min="6892" max="6892" width="23.125" style="13" customWidth="1"/>
    <col min="6893" max="6893" width="33.375" style="13" customWidth="1"/>
    <col min="6894" max="6894" width="15.25" style="13" customWidth="1"/>
    <col min="6895" max="6895" width="9.5" style="13" customWidth="1"/>
    <col min="6896" max="6896" width="9.625" style="13" customWidth="1"/>
    <col min="6897" max="6897" width="10.875" style="13" customWidth="1"/>
    <col min="6898" max="6898" width="10.75" style="13" customWidth="1"/>
    <col min="6899" max="6899" width="10.5" style="13" customWidth="1"/>
    <col min="6900" max="6900" width="10.875" style="13" customWidth="1"/>
    <col min="6901" max="6901" width="14.875" style="13" customWidth="1"/>
    <col min="6902" max="7147" width="9" style="13"/>
    <col min="7148" max="7148" width="23.125" style="13" customWidth="1"/>
    <col min="7149" max="7149" width="33.375" style="13" customWidth="1"/>
    <col min="7150" max="7150" width="15.25" style="13" customWidth="1"/>
    <col min="7151" max="7151" width="9.5" style="13" customWidth="1"/>
    <col min="7152" max="7152" width="9.625" style="13" customWidth="1"/>
    <col min="7153" max="7153" width="10.875" style="13" customWidth="1"/>
    <col min="7154" max="7154" width="10.75" style="13" customWidth="1"/>
    <col min="7155" max="7155" width="10.5" style="13" customWidth="1"/>
    <col min="7156" max="7156" width="10.875" style="13" customWidth="1"/>
    <col min="7157" max="7157" width="14.875" style="13" customWidth="1"/>
    <col min="7158" max="7403" width="9" style="13"/>
    <col min="7404" max="7404" width="23.125" style="13" customWidth="1"/>
    <col min="7405" max="7405" width="33.375" style="13" customWidth="1"/>
    <col min="7406" max="7406" width="15.25" style="13" customWidth="1"/>
    <col min="7407" max="7407" width="9.5" style="13" customWidth="1"/>
    <col min="7408" max="7408" width="9.625" style="13" customWidth="1"/>
    <col min="7409" max="7409" width="10.875" style="13" customWidth="1"/>
    <col min="7410" max="7410" width="10.75" style="13" customWidth="1"/>
    <col min="7411" max="7411" width="10.5" style="13" customWidth="1"/>
    <col min="7412" max="7412" width="10.875" style="13" customWidth="1"/>
    <col min="7413" max="7413" width="14.875" style="13" customWidth="1"/>
    <col min="7414" max="7659" width="9" style="13"/>
    <col min="7660" max="7660" width="23.125" style="13" customWidth="1"/>
    <col min="7661" max="7661" width="33.375" style="13" customWidth="1"/>
    <col min="7662" max="7662" width="15.25" style="13" customWidth="1"/>
    <col min="7663" max="7663" width="9.5" style="13" customWidth="1"/>
    <col min="7664" max="7664" width="9.625" style="13" customWidth="1"/>
    <col min="7665" max="7665" width="10.875" style="13" customWidth="1"/>
    <col min="7666" max="7666" width="10.75" style="13" customWidth="1"/>
    <col min="7667" max="7667" width="10.5" style="13" customWidth="1"/>
    <col min="7668" max="7668" width="10.875" style="13" customWidth="1"/>
    <col min="7669" max="7669" width="14.875" style="13" customWidth="1"/>
    <col min="7670" max="7915" width="9" style="13"/>
    <col min="7916" max="7916" width="23.125" style="13" customWidth="1"/>
    <col min="7917" max="7917" width="33.375" style="13" customWidth="1"/>
    <col min="7918" max="7918" width="15.25" style="13" customWidth="1"/>
    <col min="7919" max="7919" width="9.5" style="13" customWidth="1"/>
    <col min="7920" max="7920" width="9.625" style="13" customWidth="1"/>
    <col min="7921" max="7921" width="10.875" style="13" customWidth="1"/>
    <col min="7922" max="7922" width="10.75" style="13" customWidth="1"/>
    <col min="7923" max="7923" width="10.5" style="13" customWidth="1"/>
    <col min="7924" max="7924" width="10.875" style="13" customWidth="1"/>
    <col min="7925" max="7925" width="14.875" style="13" customWidth="1"/>
    <col min="7926" max="8171" width="9" style="13"/>
    <col min="8172" max="8172" width="23.125" style="13" customWidth="1"/>
    <col min="8173" max="8173" width="33.375" style="13" customWidth="1"/>
    <col min="8174" max="8174" width="15.25" style="13" customWidth="1"/>
    <col min="8175" max="8175" width="9.5" style="13" customWidth="1"/>
    <col min="8176" max="8176" width="9.625" style="13" customWidth="1"/>
    <col min="8177" max="8177" width="10.875" style="13" customWidth="1"/>
    <col min="8178" max="8178" width="10.75" style="13" customWidth="1"/>
    <col min="8179" max="8179" width="10.5" style="13" customWidth="1"/>
    <col min="8180" max="8180" width="10.875" style="13" customWidth="1"/>
    <col min="8181" max="8181" width="14.875" style="13" customWidth="1"/>
    <col min="8182" max="8427" width="9" style="13"/>
    <col min="8428" max="8428" width="23.125" style="13" customWidth="1"/>
    <col min="8429" max="8429" width="33.375" style="13" customWidth="1"/>
    <col min="8430" max="8430" width="15.25" style="13" customWidth="1"/>
    <col min="8431" max="8431" width="9.5" style="13" customWidth="1"/>
    <col min="8432" max="8432" width="9.625" style="13" customWidth="1"/>
    <col min="8433" max="8433" width="10.875" style="13" customWidth="1"/>
    <col min="8434" max="8434" width="10.75" style="13" customWidth="1"/>
    <col min="8435" max="8435" width="10.5" style="13" customWidth="1"/>
    <col min="8436" max="8436" width="10.875" style="13" customWidth="1"/>
    <col min="8437" max="8437" width="14.875" style="13" customWidth="1"/>
    <col min="8438" max="8683" width="9" style="13"/>
    <col min="8684" max="8684" width="23.125" style="13" customWidth="1"/>
    <col min="8685" max="8685" width="33.375" style="13" customWidth="1"/>
    <col min="8686" max="8686" width="15.25" style="13" customWidth="1"/>
    <col min="8687" max="8687" width="9.5" style="13" customWidth="1"/>
    <col min="8688" max="8688" width="9.625" style="13" customWidth="1"/>
    <col min="8689" max="8689" width="10.875" style="13" customWidth="1"/>
    <col min="8690" max="8690" width="10.75" style="13" customWidth="1"/>
    <col min="8691" max="8691" width="10.5" style="13" customWidth="1"/>
    <col min="8692" max="8692" width="10.875" style="13" customWidth="1"/>
    <col min="8693" max="8693" width="14.875" style="13" customWidth="1"/>
    <col min="8694" max="8939" width="9" style="13"/>
    <col min="8940" max="8940" width="23.125" style="13" customWidth="1"/>
    <col min="8941" max="8941" width="33.375" style="13" customWidth="1"/>
    <col min="8942" max="8942" width="15.25" style="13" customWidth="1"/>
    <col min="8943" max="8943" width="9.5" style="13" customWidth="1"/>
    <col min="8944" max="8944" width="9.625" style="13" customWidth="1"/>
    <col min="8945" max="8945" width="10.875" style="13" customWidth="1"/>
    <col min="8946" max="8946" width="10.75" style="13" customWidth="1"/>
    <col min="8947" max="8947" width="10.5" style="13" customWidth="1"/>
    <col min="8948" max="8948" width="10.875" style="13" customWidth="1"/>
    <col min="8949" max="8949" width="14.875" style="13" customWidth="1"/>
    <col min="8950" max="9195" width="9" style="13"/>
    <col min="9196" max="9196" width="23.125" style="13" customWidth="1"/>
    <col min="9197" max="9197" width="33.375" style="13" customWidth="1"/>
    <col min="9198" max="9198" width="15.25" style="13" customWidth="1"/>
    <col min="9199" max="9199" width="9.5" style="13" customWidth="1"/>
    <col min="9200" max="9200" width="9.625" style="13" customWidth="1"/>
    <col min="9201" max="9201" width="10.875" style="13" customWidth="1"/>
    <col min="9202" max="9202" width="10.75" style="13" customWidth="1"/>
    <col min="9203" max="9203" width="10.5" style="13" customWidth="1"/>
    <col min="9204" max="9204" width="10.875" style="13" customWidth="1"/>
    <col min="9205" max="9205" width="14.875" style="13" customWidth="1"/>
    <col min="9206" max="9451" width="9" style="13"/>
    <col min="9452" max="9452" width="23.125" style="13" customWidth="1"/>
    <col min="9453" max="9453" width="33.375" style="13" customWidth="1"/>
    <col min="9454" max="9454" width="15.25" style="13" customWidth="1"/>
    <col min="9455" max="9455" width="9.5" style="13" customWidth="1"/>
    <col min="9456" max="9456" width="9.625" style="13" customWidth="1"/>
    <col min="9457" max="9457" width="10.875" style="13" customWidth="1"/>
    <col min="9458" max="9458" width="10.75" style="13" customWidth="1"/>
    <col min="9459" max="9459" width="10.5" style="13" customWidth="1"/>
    <col min="9460" max="9460" width="10.875" style="13" customWidth="1"/>
    <col min="9461" max="9461" width="14.875" style="13" customWidth="1"/>
    <col min="9462" max="9707" width="9" style="13"/>
    <col min="9708" max="9708" width="23.125" style="13" customWidth="1"/>
    <col min="9709" max="9709" width="33.375" style="13" customWidth="1"/>
    <col min="9710" max="9710" width="15.25" style="13" customWidth="1"/>
    <col min="9711" max="9711" width="9.5" style="13" customWidth="1"/>
    <col min="9712" max="9712" width="9.625" style="13" customWidth="1"/>
    <col min="9713" max="9713" width="10.875" style="13" customWidth="1"/>
    <col min="9714" max="9714" width="10.75" style="13" customWidth="1"/>
    <col min="9715" max="9715" width="10.5" style="13" customWidth="1"/>
    <col min="9716" max="9716" width="10.875" style="13" customWidth="1"/>
    <col min="9717" max="9717" width="14.875" style="13" customWidth="1"/>
    <col min="9718" max="9963" width="9" style="13"/>
    <col min="9964" max="9964" width="23.125" style="13" customWidth="1"/>
    <col min="9965" max="9965" width="33.375" style="13" customWidth="1"/>
    <col min="9966" max="9966" width="15.25" style="13" customWidth="1"/>
    <col min="9967" max="9967" width="9.5" style="13" customWidth="1"/>
    <col min="9968" max="9968" width="9.625" style="13" customWidth="1"/>
    <col min="9969" max="9969" width="10.875" style="13" customWidth="1"/>
    <col min="9970" max="9970" width="10.75" style="13" customWidth="1"/>
    <col min="9971" max="9971" width="10.5" style="13" customWidth="1"/>
    <col min="9972" max="9972" width="10.875" style="13" customWidth="1"/>
    <col min="9973" max="9973" width="14.875" style="13" customWidth="1"/>
    <col min="9974" max="10219" width="9" style="13"/>
    <col min="10220" max="10220" width="23.125" style="13" customWidth="1"/>
    <col min="10221" max="10221" width="33.375" style="13" customWidth="1"/>
    <col min="10222" max="10222" width="15.25" style="13" customWidth="1"/>
    <col min="10223" max="10223" width="9.5" style="13" customWidth="1"/>
    <col min="10224" max="10224" width="9.625" style="13" customWidth="1"/>
    <col min="10225" max="10225" width="10.875" style="13" customWidth="1"/>
    <col min="10226" max="10226" width="10.75" style="13" customWidth="1"/>
    <col min="10227" max="10227" width="10.5" style="13" customWidth="1"/>
    <col min="10228" max="10228" width="10.875" style="13" customWidth="1"/>
    <col min="10229" max="10229" width="14.875" style="13" customWidth="1"/>
    <col min="10230" max="10475" width="9" style="13"/>
    <col min="10476" max="10476" width="23.125" style="13" customWidth="1"/>
    <col min="10477" max="10477" width="33.375" style="13" customWidth="1"/>
    <col min="10478" max="10478" width="15.25" style="13" customWidth="1"/>
    <col min="10479" max="10479" width="9.5" style="13" customWidth="1"/>
    <col min="10480" max="10480" width="9.625" style="13" customWidth="1"/>
    <col min="10481" max="10481" width="10.875" style="13" customWidth="1"/>
    <col min="10482" max="10482" width="10.75" style="13" customWidth="1"/>
    <col min="10483" max="10483" width="10.5" style="13" customWidth="1"/>
    <col min="10484" max="10484" width="10.875" style="13" customWidth="1"/>
    <col min="10485" max="10485" width="14.875" style="13" customWidth="1"/>
    <col min="10486" max="10731" width="9" style="13"/>
    <col min="10732" max="10732" width="23.125" style="13" customWidth="1"/>
    <col min="10733" max="10733" width="33.375" style="13" customWidth="1"/>
    <col min="10734" max="10734" width="15.25" style="13" customWidth="1"/>
    <col min="10735" max="10735" width="9.5" style="13" customWidth="1"/>
    <col min="10736" max="10736" width="9.625" style="13" customWidth="1"/>
    <col min="10737" max="10737" width="10.875" style="13" customWidth="1"/>
    <col min="10738" max="10738" width="10.75" style="13" customWidth="1"/>
    <col min="10739" max="10739" width="10.5" style="13" customWidth="1"/>
    <col min="10740" max="10740" width="10.875" style="13" customWidth="1"/>
    <col min="10741" max="10741" width="14.875" style="13" customWidth="1"/>
    <col min="10742" max="10987" width="9" style="13"/>
    <col min="10988" max="10988" width="23.125" style="13" customWidth="1"/>
    <col min="10989" max="10989" width="33.375" style="13" customWidth="1"/>
    <col min="10990" max="10990" width="15.25" style="13" customWidth="1"/>
    <col min="10991" max="10991" width="9.5" style="13" customWidth="1"/>
    <col min="10992" max="10992" width="9.625" style="13" customWidth="1"/>
    <col min="10993" max="10993" width="10.875" style="13" customWidth="1"/>
    <col min="10994" max="10994" width="10.75" style="13" customWidth="1"/>
    <col min="10995" max="10995" width="10.5" style="13" customWidth="1"/>
    <col min="10996" max="10996" width="10.875" style="13" customWidth="1"/>
    <col min="10997" max="10997" width="14.875" style="13" customWidth="1"/>
    <col min="10998" max="11243" width="9" style="13"/>
    <col min="11244" max="11244" width="23.125" style="13" customWidth="1"/>
    <col min="11245" max="11245" width="33.375" style="13" customWidth="1"/>
    <col min="11246" max="11246" width="15.25" style="13" customWidth="1"/>
    <col min="11247" max="11247" width="9.5" style="13" customWidth="1"/>
    <col min="11248" max="11248" width="9.625" style="13" customWidth="1"/>
    <col min="11249" max="11249" width="10.875" style="13" customWidth="1"/>
    <col min="11250" max="11250" width="10.75" style="13" customWidth="1"/>
    <col min="11251" max="11251" width="10.5" style="13" customWidth="1"/>
    <col min="11252" max="11252" width="10.875" style="13" customWidth="1"/>
    <col min="11253" max="11253" width="14.875" style="13" customWidth="1"/>
    <col min="11254" max="11499" width="9" style="13"/>
    <col min="11500" max="11500" width="23.125" style="13" customWidth="1"/>
    <col min="11501" max="11501" width="33.375" style="13" customWidth="1"/>
    <col min="11502" max="11502" width="15.25" style="13" customWidth="1"/>
    <col min="11503" max="11503" width="9.5" style="13" customWidth="1"/>
    <col min="11504" max="11504" width="9.625" style="13" customWidth="1"/>
    <col min="11505" max="11505" width="10.875" style="13" customWidth="1"/>
    <col min="11506" max="11506" width="10.75" style="13" customWidth="1"/>
    <col min="11507" max="11507" width="10.5" style="13" customWidth="1"/>
    <col min="11508" max="11508" width="10.875" style="13" customWidth="1"/>
    <col min="11509" max="11509" width="14.875" style="13" customWidth="1"/>
    <col min="11510" max="11755" width="9" style="13"/>
    <col min="11756" max="11756" width="23.125" style="13" customWidth="1"/>
    <col min="11757" max="11757" width="33.375" style="13" customWidth="1"/>
    <col min="11758" max="11758" width="15.25" style="13" customWidth="1"/>
    <col min="11759" max="11759" width="9.5" style="13" customWidth="1"/>
    <col min="11760" max="11760" width="9.625" style="13" customWidth="1"/>
    <col min="11761" max="11761" width="10.875" style="13" customWidth="1"/>
    <col min="11762" max="11762" width="10.75" style="13" customWidth="1"/>
    <col min="11763" max="11763" width="10.5" style="13" customWidth="1"/>
    <col min="11764" max="11764" width="10.875" style="13" customWidth="1"/>
    <col min="11765" max="11765" width="14.875" style="13" customWidth="1"/>
    <col min="11766" max="12011" width="9" style="13"/>
    <col min="12012" max="12012" width="23.125" style="13" customWidth="1"/>
    <col min="12013" max="12013" width="33.375" style="13" customWidth="1"/>
    <col min="12014" max="12014" width="15.25" style="13" customWidth="1"/>
    <col min="12015" max="12015" width="9.5" style="13" customWidth="1"/>
    <col min="12016" max="12016" width="9.625" style="13" customWidth="1"/>
    <col min="12017" max="12017" width="10.875" style="13" customWidth="1"/>
    <col min="12018" max="12018" width="10.75" style="13" customWidth="1"/>
    <col min="12019" max="12019" width="10.5" style="13" customWidth="1"/>
    <col min="12020" max="12020" width="10.875" style="13" customWidth="1"/>
    <col min="12021" max="12021" width="14.875" style="13" customWidth="1"/>
    <col min="12022" max="12267" width="9" style="13"/>
    <col min="12268" max="12268" width="23.125" style="13" customWidth="1"/>
    <col min="12269" max="12269" width="33.375" style="13" customWidth="1"/>
    <col min="12270" max="12270" width="15.25" style="13" customWidth="1"/>
    <col min="12271" max="12271" width="9.5" style="13" customWidth="1"/>
    <col min="12272" max="12272" width="9.625" style="13" customWidth="1"/>
    <col min="12273" max="12273" width="10.875" style="13" customWidth="1"/>
    <col min="12274" max="12274" width="10.75" style="13" customWidth="1"/>
    <col min="12275" max="12275" width="10.5" style="13" customWidth="1"/>
    <col min="12276" max="12276" width="10.875" style="13" customWidth="1"/>
    <col min="12277" max="12277" width="14.875" style="13" customWidth="1"/>
    <col min="12278" max="12523" width="9" style="13"/>
    <col min="12524" max="12524" width="23.125" style="13" customWidth="1"/>
    <col min="12525" max="12525" width="33.375" style="13" customWidth="1"/>
    <col min="12526" max="12526" width="15.25" style="13" customWidth="1"/>
    <col min="12527" max="12527" width="9.5" style="13" customWidth="1"/>
    <col min="12528" max="12528" width="9.625" style="13" customWidth="1"/>
    <col min="12529" max="12529" width="10.875" style="13" customWidth="1"/>
    <col min="12530" max="12530" width="10.75" style="13" customWidth="1"/>
    <col min="12531" max="12531" width="10.5" style="13" customWidth="1"/>
    <col min="12532" max="12532" width="10.875" style="13" customWidth="1"/>
    <col min="12533" max="12533" width="14.875" style="13" customWidth="1"/>
    <col min="12534" max="12779" width="9" style="13"/>
    <col min="12780" max="12780" width="23.125" style="13" customWidth="1"/>
    <col min="12781" max="12781" width="33.375" style="13" customWidth="1"/>
    <col min="12782" max="12782" width="15.25" style="13" customWidth="1"/>
    <col min="12783" max="12783" width="9.5" style="13" customWidth="1"/>
    <col min="12784" max="12784" width="9.625" style="13" customWidth="1"/>
    <col min="12785" max="12785" width="10.875" style="13" customWidth="1"/>
    <col min="12786" max="12786" width="10.75" style="13" customWidth="1"/>
    <col min="12787" max="12787" width="10.5" style="13" customWidth="1"/>
    <col min="12788" max="12788" width="10.875" style="13" customWidth="1"/>
    <col min="12789" max="12789" width="14.875" style="13" customWidth="1"/>
    <col min="12790" max="13035" width="9" style="13"/>
    <col min="13036" max="13036" width="23.125" style="13" customWidth="1"/>
    <col min="13037" max="13037" width="33.375" style="13" customWidth="1"/>
    <col min="13038" max="13038" width="15.25" style="13" customWidth="1"/>
    <col min="13039" max="13039" width="9.5" style="13" customWidth="1"/>
    <col min="13040" max="13040" width="9.625" style="13" customWidth="1"/>
    <col min="13041" max="13041" width="10.875" style="13" customWidth="1"/>
    <col min="13042" max="13042" width="10.75" style="13" customWidth="1"/>
    <col min="13043" max="13043" width="10.5" style="13" customWidth="1"/>
    <col min="13044" max="13044" width="10.875" style="13" customWidth="1"/>
    <col min="13045" max="13045" width="14.875" style="13" customWidth="1"/>
    <col min="13046" max="13291" width="9" style="13"/>
    <col min="13292" max="13292" width="23.125" style="13" customWidth="1"/>
    <col min="13293" max="13293" width="33.375" style="13" customWidth="1"/>
    <col min="13294" max="13294" width="15.25" style="13" customWidth="1"/>
    <col min="13295" max="13295" width="9.5" style="13" customWidth="1"/>
    <col min="13296" max="13296" width="9.625" style="13" customWidth="1"/>
    <col min="13297" max="13297" width="10.875" style="13" customWidth="1"/>
    <col min="13298" max="13298" width="10.75" style="13" customWidth="1"/>
    <col min="13299" max="13299" width="10.5" style="13" customWidth="1"/>
    <col min="13300" max="13300" width="10.875" style="13" customWidth="1"/>
    <col min="13301" max="13301" width="14.875" style="13" customWidth="1"/>
    <col min="13302" max="13547" width="9" style="13"/>
    <col min="13548" max="13548" width="23.125" style="13" customWidth="1"/>
    <col min="13549" max="13549" width="33.375" style="13" customWidth="1"/>
    <col min="13550" max="13550" width="15.25" style="13" customWidth="1"/>
    <col min="13551" max="13551" width="9.5" style="13" customWidth="1"/>
    <col min="13552" max="13552" width="9.625" style="13" customWidth="1"/>
    <col min="13553" max="13553" width="10.875" style="13" customWidth="1"/>
    <col min="13554" max="13554" width="10.75" style="13" customWidth="1"/>
    <col min="13555" max="13555" width="10.5" style="13" customWidth="1"/>
    <col min="13556" max="13556" width="10.875" style="13" customWidth="1"/>
    <col min="13557" max="13557" width="14.875" style="13" customWidth="1"/>
    <col min="13558" max="13803" width="9" style="13"/>
    <col min="13804" max="13804" width="23.125" style="13" customWidth="1"/>
    <col min="13805" max="13805" width="33.375" style="13" customWidth="1"/>
    <col min="13806" max="13806" width="15.25" style="13" customWidth="1"/>
    <col min="13807" max="13807" width="9.5" style="13" customWidth="1"/>
    <col min="13808" max="13808" width="9.625" style="13" customWidth="1"/>
    <col min="13809" max="13809" width="10.875" style="13" customWidth="1"/>
    <col min="13810" max="13810" width="10.75" style="13" customWidth="1"/>
    <col min="13811" max="13811" width="10.5" style="13" customWidth="1"/>
    <col min="13812" max="13812" width="10.875" style="13" customWidth="1"/>
    <col min="13813" max="13813" width="14.875" style="13" customWidth="1"/>
    <col min="13814" max="14059" width="9" style="13"/>
    <col min="14060" max="14060" width="23.125" style="13" customWidth="1"/>
    <col min="14061" max="14061" width="33.375" style="13" customWidth="1"/>
    <col min="14062" max="14062" width="15.25" style="13" customWidth="1"/>
    <col min="14063" max="14063" width="9.5" style="13" customWidth="1"/>
    <col min="14064" max="14064" width="9.625" style="13" customWidth="1"/>
    <col min="14065" max="14065" width="10.875" style="13" customWidth="1"/>
    <col min="14066" max="14066" width="10.75" style="13" customWidth="1"/>
    <col min="14067" max="14067" width="10.5" style="13" customWidth="1"/>
    <col min="14068" max="14068" width="10.875" style="13" customWidth="1"/>
    <col min="14069" max="14069" width="14.875" style="13" customWidth="1"/>
    <col min="14070" max="14315" width="9" style="13"/>
    <col min="14316" max="14316" width="23.125" style="13" customWidth="1"/>
    <col min="14317" max="14317" width="33.375" style="13" customWidth="1"/>
    <col min="14318" max="14318" width="15.25" style="13" customWidth="1"/>
    <col min="14319" max="14319" width="9.5" style="13" customWidth="1"/>
    <col min="14320" max="14320" width="9.625" style="13" customWidth="1"/>
    <col min="14321" max="14321" width="10.875" style="13" customWidth="1"/>
    <col min="14322" max="14322" width="10.75" style="13" customWidth="1"/>
    <col min="14323" max="14323" width="10.5" style="13" customWidth="1"/>
    <col min="14324" max="14324" width="10.875" style="13" customWidth="1"/>
    <col min="14325" max="14325" width="14.875" style="13" customWidth="1"/>
    <col min="14326" max="14571" width="9" style="13"/>
    <col min="14572" max="14572" width="23.125" style="13" customWidth="1"/>
    <col min="14573" max="14573" width="33.375" style="13" customWidth="1"/>
    <col min="14574" max="14574" width="15.25" style="13" customWidth="1"/>
    <col min="14575" max="14575" width="9.5" style="13" customWidth="1"/>
    <col min="14576" max="14576" width="9.625" style="13" customWidth="1"/>
    <col min="14577" max="14577" width="10.875" style="13" customWidth="1"/>
    <col min="14578" max="14578" width="10.75" style="13" customWidth="1"/>
    <col min="14579" max="14579" width="10.5" style="13" customWidth="1"/>
    <col min="14580" max="14580" width="10.875" style="13" customWidth="1"/>
    <col min="14581" max="14581" width="14.875" style="13" customWidth="1"/>
    <col min="14582" max="14827" width="9" style="13"/>
    <col min="14828" max="14828" width="23.125" style="13" customWidth="1"/>
    <col min="14829" max="14829" width="33.375" style="13" customWidth="1"/>
    <col min="14830" max="14830" width="15.25" style="13" customWidth="1"/>
    <col min="14831" max="14831" width="9.5" style="13" customWidth="1"/>
    <col min="14832" max="14832" width="9.625" style="13" customWidth="1"/>
    <col min="14833" max="14833" width="10.875" style="13" customWidth="1"/>
    <col min="14834" max="14834" width="10.75" style="13" customWidth="1"/>
    <col min="14835" max="14835" width="10.5" style="13" customWidth="1"/>
    <col min="14836" max="14836" width="10.875" style="13" customWidth="1"/>
    <col min="14837" max="14837" width="14.875" style="13" customWidth="1"/>
    <col min="14838" max="15083" width="9" style="13"/>
    <col min="15084" max="15084" width="23.125" style="13" customWidth="1"/>
    <col min="15085" max="15085" width="33.375" style="13" customWidth="1"/>
    <col min="15086" max="15086" width="15.25" style="13" customWidth="1"/>
    <col min="15087" max="15087" width="9.5" style="13" customWidth="1"/>
    <col min="15088" max="15088" width="9.625" style="13" customWidth="1"/>
    <col min="15089" max="15089" width="10.875" style="13" customWidth="1"/>
    <col min="15090" max="15090" width="10.75" style="13" customWidth="1"/>
    <col min="15091" max="15091" width="10.5" style="13" customWidth="1"/>
    <col min="15092" max="15092" width="10.875" style="13" customWidth="1"/>
    <col min="15093" max="15093" width="14.875" style="13" customWidth="1"/>
    <col min="15094" max="15339" width="9" style="13"/>
    <col min="15340" max="15340" width="23.125" style="13" customWidth="1"/>
    <col min="15341" max="15341" width="33.375" style="13" customWidth="1"/>
    <col min="15342" max="15342" width="15.25" style="13" customWidth="1"/>
    <col min="15343" max="15343" width="9.5" style="13" customWidth="1"/>
    <col min="15344" max="15344" width="9.625" style="13" customWidth="1"/>
    <col min="15345" max="15345" width="10.875" style="13" customWidth="1"/>
    <col min="15346" max="15346" width="10.75" style="13" customWidth="1"/>
    <col min="15347" max="15347" width="10.5" style="13" customWidth="1"/>
    <col min="15348" max="15348" width="10.875" style="13" customWidth="1"/>
    <col min="15349" max="15349" width="14.875" style="13" customWidth="1"/>
    <col min="15350" max="15595" width="9" style="13"/>
    <col min="15596" max="15596" width="23.125" style="13" customWidth="1"/>
    <col min="15597" max="15597" width="33.375" style="13" customWidth="1"/>
    <col min="15598" max="15598" width="15.25" style="13" customWidth="1"/>
    <col min="15599" max="15599" width="9.5" style="13" customWidth="1"/>
    <col min="15600" max="15600" width="9.625" style="13" customWidth="1"/>
    <col min="15601" max="15601" width="10.875" style="13" customWidth="1"/>
    <col min="15602" max="15602" width="10.75" style="13" customWidth="1"/>
    <col min="15603" max="15603" width="10.5" style="13" customWidth="1"/>
    <col min="15604" max="15604" width="10.875" style="13" customWidth="1"/>
    <col min="15605" max="15605" width="14.875" style="13" customWidth="1"/>
    <col min="15606" max="15851" width="9" style="13"/>
    <col min="15852" max="15852" width="23.125" style="13" customWidth="1"/>
    <col min="15853" max="15853" width="33.375" style="13" customWidth="1"/>
    <col min="15854" max="15854" width="15.25" style="13" customWidth="1"/>
    <col min="15855" max="15855" width="9.5" style="13" customWidth="1"/>
    <col min="15856" max="15856" width="9.625" style="13" customWidth="1"/>
    <col min="15857" max="15857" width="10.875" style="13" customWidth="1"/>
    <col min="15858" max="15858" width="10.75" style="13" customWidth="1"/>
    <col min="15859" max="15859" width="10.5" style="13" customWidth="1"/>
    <col min="15860" max="15860" width="10.875" style="13" customWidth="1"/>
    <col min="15861" max="15861" width="14.875" style="13" customWidth="1"/>
    <col min="15862" max="16107" width="9" style="13"/>
    <col min="16108" max="16108" width="23.125" style="13" customWidth="1"/>
    <col min="16109" max="16109" width="33.375" style="13" customWidth="1"/>
    <col min="16110" max="16110" width="15.25" style="13" customWidth="1"/>
    <col min="16111" max="16111" width="9.5" style="13" customWidth="1"/>
    <col min="16112" max="16112" width="9.625" style="13" customWidth="1"/>
    <col min="16113" max="16113" width="10.875" style="13" customWidth="1"/>
    <col min="16114" max="16114" width="10.75" style="13" customWidth="1"/>
    <col min="16115" max="16115" width="10.5" style="13" customWidth="1"/>
    <col min="16116" max="16116" width="10.875" style="13" customWidth="1"/>
    <col min="16117" max="16117" width="14.875" style="13" customWidth="1"/>
    <col min="16118" max="16384" width="9" style="13"/>
  </cols>
  <sheetData>
    <row r="1" spans="1:20" s="12" customFormat="1" ht="17.100000000000001" customHeight="1" x14ac:dyDescent="0.25">
      <c r="A1" s="36" t="s">
        <v>15</v>
      </c>
      <c r="B1" s="37"/>
      <c r="C1" s="38"/>
      <c r="D1" s="22" t="s">
        <v>16</v>
      </c>
      <c r="E1" s="42" t="s">
        <v>25</v>
      </c>
      <c r="F1" s="43"/>
      <c r="G1" s="43"/>
      <c r="H1" s="43"/>
      <c r="I1" s="43"/>
      <c r="J1" s="44"/>
      <c r="K1" s="30" t="s">
        <v>17</v>
      </c>
      <c r="L1" s="31"/>
      <c r="M1" s="32" t="s">
        <v>14</v>
      </c>
      <c r="N1" s="33"/>
    </row>
    <row r="2" spans="1:20" s="12" customFormat="1" ht="17.100000000000001" customHeight="1" x14ac:dyDescent="0.25">
      <c r="A2" s="39"/>
      <c r="B2" s="40"/>
      <c r="C2" s="41"/>
      <c r="D2" s="23"/>
      <c r="E2" s="45"/>
      <c r="F2" s="46"/>
      <c r="G2" s="46"/>
      <c r="H2" s="46"/>
      <c r="I2" s="46"/>
      <c r="J2" s="47"/>
      <c r="K2" s="30" t="s">
        <v>18</v>
      </c>
      <c r="L2" s="31"/>
      <c r="M2" s="32" t="s">
        <v>23</v>
      </c>
      <c r="N2" s="33"/>
    </row>
    <row r="3" spans="1:20" s="12" customFormat="1" ht="17.100000000000001" customHeight="1" x14ac:dyDescent="0.25">
      <c r="A3" s="16" t="s">
        <v>12</v>
      </c>
      <c r="B3" s="17"/>
      <c r="C3" s="18"/>
      <c r="D3" s="22" t="s">
        <v>19</v>
      </c>
      <c r="E3" s="24" t="s">
        <v>20</v>
      </c>
      <c r="F3" s="25"/>
      <c r="G3" s="25"/>
      <c r="H3" s="25"/>
      <c r="I3" s="25"/>
      <c r="J3" s="26"/>
      <c r="K3" s="30" t="s">
        <v>21</v>
      </c>
      <c r="L3" s="31"/>
      <c r="M3" s="32" t="s">
        <v>24</v>
      </c>
      <c r="N3" s="33"/>
    </row>
    <row r="4" spans="1:20" s="12" customFormat="1" ht="17.100000000000001" customHeight="1" x14ac:dyDescent="0.25">
      <c r="A4" s="19"/>
      <c r="B4" s="20"/>
      <c r="C4" s="21"/>
      <c r="D4" s="23"/>
      <c r="E4" s="27"/>
      <c r="F4" s="28"/>
      <c r="G4" s="28"/>
      <c r="H4" s="28"/>
      <c r="I4" s="28"/>
      <c r="J4" s="29"/>
      <c r="K4" s="30" t="s">
        <v>22</v>
      </c>
      <c r="L4" s="31"/>
      <c r="M4" s="34" t="s">
        <v>13</v>
      </c>
      <c r="N4" s="35"/>
    </row>
    <row r="5" spans="1:20" s="2" customFormat="1" ht="30" customHeight="1" x14ac:dyDescent="0.3">
      <c r="A5" s="48" t="s">
        <v>30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50"/>
      <c r="Q5" s="7"/>
      <c r="R5" s="7"/>
      <c r="S5" s="1"/>
    </row>
    <row r="6" spans="1:20" s="2" customFormat="1" ht="24" customHeight="1" x14ac:dyDescent="0.25">
      <c r="A6" s="51" t="s">
        <v>1</v>
      </c>
      <c r="B6" s="32"/>
      <c r="C6" s="53" t="s">
        <v>2</v>
      </c>
      <c r="D6" s="33"/>
      <c r="E6" s="55" t="s">
        <v>3</v>
      </c>
      <c r="F6" s="57" t="s">
        <v>29</v>
      </c>
      <c r="G6" s="59" t="s">
        <v>34</v>
      </c>
      <c r="H6" s="59" t="s">
        <v>35</v>
      </c>
      <c r="I6" s="60" t="s">
        <v>26</v>
      </c>
      <c r="J6" s="61"/>
      <c r="K6" s="62"/>
      <c r="L6" s="126" t="s">
        <v>39</v>
      </c>
      <c r="M6" s="64" t="s">
        <v>4</v>
      </c>
      <c r="N6" s="90" t="s">
        <v>5</v>
      </c>
      <c r="O6" s="92" t="s">
        <v>6</v>
      </c>
      <c r="P6" s="94" t="s">
        <v>31</v>
      </c>
      <c r="Q6" s="94" t="s">
        <v>32</v>
      </c>
      <c r="R6" s="94" t="s">
        <v>33</v>
      </c>
      <c r="S6" s="74" t="s">
        <v>27</v>
      </c>
      <c r="T6" s="74" t="s">
        <v>28</v>
      </c>
    </row>
    <row r="7" spans="1:20" s="2" customFormat="1" ht="33" customHeight="1" thickBot="1" x14ac:dyDescent="0.3">
      <c r="A7" s="52"/>
      <c r="B7" s="52"/>
      <c r="C7" s="54"/>
      <c r="D7" s="54"/>
      <c r="E7" s="56"/>
      <c r="F7" s="58"/>
      <c r="G7" s="54"/>
      <c r="H7" s="54"/>
      <c r="I7" s="15" t="s">
        <v>36</v>
      </c>
      <c r="J7" s="125" t="s">
        <v>37</v>
      </c>
      <c r="K7" s="125" t="s">
        <v>38</v>
      </c>
      <c r="L7" s="63"/>
      <c r="M7" s="56"/>
      <c r="N7" s="91"/>
      <c r="O7" s="93"/>
      <c r="P7" s="95"/>
      <c r="Q7" s="95"/>
      <c r="R7" s="95"/>
      <c r="S7" s="74"/>
      <c r="T7" s="74"/>
    </row>
    <row r="8" spans="1:20" s="2" customFormat="1" ht="24" customHeight="1" thickTop="1" x14ac:dyDescent="0.25">
      <c r="A8" s="75"/>
      <c r="B8" s="76"/>
      <c r="C8" s="78"/>
      <c r="D8" s="79"/>
      <c r="E8" s="8"/>
      <c r="F8" s="80"/>
      <c r="G8" s="82" t="e">
        <f>$S8*100</f>
        <v>#N/A</v>
      </c>
      <c r="H8" s="82" t="e">
        <f>$T8*100</f>
        <v>#N/A</v>
      </c>
      <c r="I8" s="84" t="e">
        <f>(P8/P9)*100</f>
        <v>#DIV/0!</v>
      </c>
      <c r="J8" s="86" t="e">
        <f>(Q8/Q9)*100</f>
        <v>#DIV/0!</v>
      </c>
      <c r="K8" s="86" t="e">
        <f>(R8/R9)*100</f>
        <v>#DIV/0!</v>
      </c>
      <c r="L8" s="88"/>
      <c r="M8" s="65"/>
      <c r="N8" s="67"/>
      <c r="O8" s="69" t="s">
        <v>0</v>
      </c>
      <c r="P8" s="9"/>
      <c r="Q8" s="9"/>
      <c r="R8" s="9"/>
      <c r="S8" s="71" t="e">
        <f>IF(ISBLANK($P8),NA(),MIN(1,($P8/$P9)+1*SQRT(($P8/$P9)*(1-$P8/$P9)/$P9)))</f>
        <v>#N/A</v>
      </c>
      <c r="T8" s="71" t="e">
        <f>IF(ISBLANK($P8),NA(),MIN(1,($P8/$P9)+2*SQRT(($P8/$P9)*(1-$P8/$P9)/$P9)))</f>
        <v>#N/A</v>
      </c>
    </row>
    <row r="9" spans="1:20" s="2" customFormat="1" ht="24" customHeight="1" thickBot="1" x14ac:dyDescent="0.3">
      <c r="A9" s="77"/>
      <c r="B9" s="77"/>
      <c r="C9" s="72"/>
      <c r="D9" s="73"/>
      <c r="E9" s="11"/>
      <c r="F9" s="81"/>
      <c r="G9" s="83"/>
      <c r="H9" s="83"/>
      <c r="I9" s="85"/>
      <c r="J9" s="87"/>
      <c r="K9" s="87"/>
      <c r="L9" s="89"/>
      <c r="M9" s="66"/>
      <c r="N9" s="68"/>
      <c r="O9" s="70"/>
      <c r="P9" s="14"/>
      <c r="Q9" s="9"/>
      <c r="R9" s="9"/>
      <c r="S9" s="71" t="e">
        <f t="shared" ref="S9:T9" si="0">IF(ISBLANK(Q9),NA(),MIN(1,U9+2*SQRT(U9*(1-U9)/R9)))</f>
        <v>#N/A</v>
      </c>
      <c r="T9" s="71" t="e">
        <f t="shared" si="0"/>
        <v>#N/A</v>
      </c>
    </row>
    <row r="10" spans="1:20" ht="24" customHeight="1" thickTop="1" x14ac:dyDescent="0.25">
      <c r="A10" s="75"/>
      <c r="B10" s="76"/>
      <c r="C10" s="78"/>
      <c r="D10" s="79"/>
      <c r="E10" s="8"/>
      <c r="F10" s="80"/>
      <c r="G10" s="82" t="e">
        <f t="shared" ref="G10" si="1">$S10*100</f>
        <v>#N/A</v>
      </c>
      <c r="H10" s="82" t="e">
        <f t="shared" ref="H10" si="2">$T10*100</f>
        <v>#N/A</v>
      </c>
      <c r="I10" s="84" t="e">
        <f>(P10/P11)*100</f>
        <v>#DIV/0!</v>
      </c>
      <c r="J10" s="86" t="e">
        <f>(Q10/Q11)*100</f>
        <v>#DIV/0!</v>
      </c>
      <c r="K10" s="86" t="e">
        <f>(R10/R11)*100</f>
        <v>#DIV/0!</v>
      </c>
      <c r="L10" s="88"/>
      <c r="M10" s="65"/>
      <c r="N10" s="67"/>
      <c r="O10" s="69" t="s">
        <v>7</v>
      </c>
      <c r="P10" s="14"/>
      <c r="Q10" s="14"/>
      <c r="R10" s="14"/>
      <c r="S10" s="71" t="e">
        <f>IF(ISBLANK($P10),NA(),MIN(1,($P10/$P11)+1*SQRT(($P10/$P11)*(1-$P10/$P11)/$P11)))</f>
        <v>#N/A</v>
      </c>
      <c r="T10" s="71" t="e">
        <f>IF(ISBLANK($P10),NA(),MIN(1,($P10/$P11)+2*SQRT(($P10/$P11)*(1-$P10/$P11)/$P11)))</f>
        <v>#N/A</v>
      </c>
    </row>
    <row r="11" spans="1:20" ht="24" customHeight="1" thickBot="1" x14ac:dyDescent="0.3">
      <c r="A11" s="96"/>
      <c r="B11" s="96"/>
      <c r="C11" s="72"/>
      <c r="D11" s="73"/>
      <c r="E11" s="11"/>
      <c r="F11" s="81"/>
      <c r="G11" s="83"/>
      <c r="H11" s="83"/>
      <c r="I11" s="85"/>
      <c r="J11" s="87"/>
      <c r="K11" s="87"/>
      <c r="L11" s="97"/>
      <c r="M11" s="66"/>
      <c r="N11" s="68"/>
      <c r="O11" s="70"/>
      <c r="P11" s="14"/>
      <c r="Q11" s="14"/>
      <c r="R11" s="14"/>
      <c r="S11" s="71" t="e">
        <f t="shared" ref="S11:T11" si="3">IF(ISBLANK(Q11),NA(),MIN(1,U11+2*SQRT(U11*(1-U11)/R11)))</f>
        <v>#N/A</v>
      </c>
      <c r="T11" s="71" t="e">
        <f t="shared" si="3"/>
        <v>#N/A</v>
      </c>
    </row>
    <row r="12" spans="1:20" ht="24" customHeight="1" thickTop="1" x14ac:dyDescent="0.25">
      <c r="A12" s="76"/>
      <c r="B12" s="76"/>
      <c r="C12" s="78"/>
      <c r="D12" s="79"/>
      <c r="E12" s="8"/>
      <c r="F12" s="80"/>
      <c r="G12" s="82" t="e">
        <f>$S12*1000</f>
        <v>#N/A</v>
      </c>
      <c r="H12" s="82" t="e">
        <f>$T12*1000</f>
        <v>#N/A</v>
      </c>
      <c r="I12" s="84" t="e">
        <f>(P12/P13)*1000</f>
        <v>#DIV/0!</v>
      </c>
      <c r="J12" s="86" t="e">
        <f>(Q12/Q13)*1000</f>
        <v>#DIV/0!</v>
      </c>
      <c r="K12" s="86" t="e">
        <f>(R12/R13)*1000</f>
        <v>#DIV/0!</v>
      </c>
      <c r="L12" s="105"/>
      <c r="M12" s="65"/>
      <c r="N12" s="67"/>
      <c r="O12" s="69" t="s">
        <v>7</v>
      </c>
      <c r="P12" s="14"/>
      <c r="Q12" s="14"/>
      <c r="R12" s="14"/>
      <c r="S12" s="71" t="e">
        <f t="shared" ref="S12" si="4">IF(ISBLANK($P12),NA(),MIN(1,($P12/$P13)+1*SQRT(($P12/$P13)*(1-$P12/$P13)/$P13)))</f>
        <v>#N/A</v>
      </c>
      <c r="T12" s="71" t="e">
        <f t="shared" ref="T12" si="5">IF(ISBLANK($P12),NA(),MIN(1,($P12/$P13)+2*SQRT(($P12/$P13)*(1-$P12/$P13)/$P13)))</f>
        <v>#N/A</v>
      </c>
    </row>
    <row r="13" spans="1:20" ht="24" customHeight="1" thickBot="1" x14ac:dyDescent="0.3">
      <c r="A13" s="96"/>
      <c r="B13" s="96"/>
      <c r="C13" s="98"/>
      <c r="D13" s="73"/>
      <c r="E13" s="11"/>
      <c r="F13" s="81"/>
      <c r="G13" s="83"/>
      <c r="H13" s="83"/>
      <c r="I13" s="85"/>
      <c r="J13" s="87"/>
      <c r="K13" s="87"/>
      <c r="L13" s="106"/>
      <c r="M13" s="66"/>
      <c r="N13" s="68"/>
      <c r="O13" s="70"/>
      <c r="P13" s="14"/>
      <c r="Q13" s="14"/>
      <c r="R13" s="14"/>
      <c r="S13" s="71" t="e">
        <f t="shared" ref="S13:T13" si="6">IF(ISBLANK(Q13),NA(),MIN(1,U13+2*SQRT(U13*(1-U13)/R13)))</f>
        <v>#N/A</v>
      </c>
      <c r="T13" s="71" t="e">
        <f t="shared" si="6"/>
        <v>#N/A</v>
      </c>
    </row>
    <row r="14" spans="1:20" ht="24" customHeight="1" thickTop="1" x14ac:dyDescent="0.25">
      <c r="A14" s="75"/>
      <c r="B14" s="76"/>
      <c r="C14" s="78"/>
      <c r="D14" s="79"/>
      <c r="E14" s="100"/>
      <c r="F14" s="80"/>
      <c r="G14" s="82" t="e">
        <f t="shared" ref="G14" si="7">$S14*100</f>
        <v>#N/A</v>
      </c>
      <c r="H14" s="82" t="e">
        <f t="shared" ref="H14" si="8">$T14*100</f>
        <v>#N/A</v>
      </c>
      <c r="I14" s="84" t="e">
        <f>(P14/P15)*100</f>
        <v>#DIV/0!</v>
      </c>
      <c r="J14" s="86" t="e">
        <f>(Q14/Q15)*100</f>
        <v>#DIV/0!</v>
      </c>
      <c r="K14" s="86" t="e">
        <f>(R14/R15)*100</f>
        <v>#DIV/0!</v>
      </c>
      <c r="L14" s="105"/>
      <c r="M14" s="65"/>
      <c r="N14" s="67"/>
      <c r="O14" s="69" t="s">
        <v>7</v>
      </c>
      <c r="P14" s="14"/>
      <c r="Q14" s="14"/>
      <c r="R14" s="14"/>
      <c r="S14" s="71" t="e">
        <f t="shared" ref="S14" si="9">IF(ISBLANK($P14),NA(),MIN(1,($P14/$P15)+1*SQRT(($P14/$P15)*(1-$P14/$P15)/$P15)))</f>
        <v>#N/A</v>
      </c>
      <c r="T14" s="71" t="e">
        <f t="shared" ref="T14" si="10">IF(ISBLANK($P14),NA(),MIN(1,($P14/$P15)+2*SQRT(($P14/$P15)*(1-$P14/$P15)/$P15)))</f>
        <v>#N/A</v>
      </c>
    </row>
    <row r="15" spans="1:20" ht="24" customHeight="1" thickBot="1" x14ac:dyDescent="0.3">
      <c r="A15" s="99"/>
      <c r="B15" s="99"/>
      <c r="C15" s="107"/>
      <c r="D15" s="108"/>
      <c r="E15" s="101"/>
      <c r="F15" s="102"/>
      <c r="G15" s="83"/>
      <c r="H15" s="83"/>
      <c r="I15" s="103"/>
      <c r="J15" s="104"/>
      <c r="K15" s="104"/>
      <c r="L15" s="111"/>
      <c r="M15" s="112"/>
      <c r="N15" s="113"/>
      <c r="O15" s="70"/>
      <c r="P15" s="14"/>
      <c r="Q15" s="14"/>
      <c r="R15" s="14"/>
      <c r="S15" s="71" t="e">
        <f t="shared" ref="S15:T15" si="11">IF(ISBLANK(Q15),NA(),MIN(1,U15+2*SQRT(U15*(1-U15)/R15)))</f>
        <v>#N/A</v>
      </c>
      <c r="T15" s="71" t="e">
        <f t="shared" si="11"/>
        <v>#N/A</v>
      </c>
    </row>
    <row r="16" spans="1:20" ht="24" customHeight="1" thickTop="1" x14ac:dyDescent="0.25">
      <c r="A16" s="75"/>
      <c r="B16" s="76"/>
      <c r="C16" s="78"/>
      <c r="D16" s="79"/>
      <c r="E16" s="100"/>
      <c r="F16" s="80"/>
      <c r="G16" s="109" t="e">
        <f t="shared" ref="G16" si="12">$S16*100</f>
        <v>#N/A</v>
      </c>
      <c r="H16" s="109" t="e">
        <f t="shared" ref="H16" si="13">$T16*100</f>
        <v>#N/A</v>
      </c>
      <c r="I16" s="84" t="e">
        <f>(P16/P17)*100</f>
        <v>#DIV/0!</v>
      </c>
      <c r="J16" s="86" t="e">
        <f>(Q16/Q17)*100</f>
        <v>#DIV/0!</v>
      </c>
      <c r="K16" s="86" t="e">
        <f>(R16/R17)*100</f>
        <v>#DIV/0!</v>
      </c>
      <c r="L16" s="105"/>
      <c r="M16" s="65"/>
      <c r="N16" s="67"/>
      <c r="O16" s="69" t="s">
        <v>7</v>
      </c>
      <c r="P16" s="14"/>
      <c r="Q16" s="14"/>
      <c r="R16" s="14"/>
      <c r="S16" s="71" t="e">
        <f t="shared" ref="S16" si="14">IF(ISBLANK($P16),NA(),MIN(1,($P16/$P17)+1*SQRT(($P16/$P17)*(1-$P16/$P17)/$P17)))</f>
        <v>#N/A</v>
      </c>
      <c r="T16" s="71" t="e">
        <f t="shared" ref="T16" si="15">IF(ISBLANK($P16),NA(),MIN(1,($P16/$P17)+2*SQRT(($P16/$P17)*(1-$P16/$P17)/$P17)))</f>
        <v>#N/A</v>
      </c>
    </row>
    <row r="17" spans="1:20" ht="24" customHeight="1" thickBot="1" x14ac:dyDescent="0.3">
      <c r="A17" s="99"/>
      <c r="B17" s="99"/>
      <c r="C17" s="114"/>
      <c r="D17" s="108"/>
      <c r="E17" s="101"/>
      <c r="F17" s="102"/>
      <c r="G17" s="110"/>
      <c r="H17" s="110"/>
      <c r="I17" s="103"/>
      <c r="J17" s="104"/>
      <c r="K17" s="104"/>
      <c r="L17" s="111"/>
      <c r="M17" s="112"/>
      <c r="N17" s="118"/>
      <c r="O17" s="70"/>
      <c r="P17" s="14"/>
      <c r="Q17" s="14"/>
      <c r="R17" s="14"/>
      <c r="S17" s="71" t="e">
        <f t="shared" ref="S17:T17" si="16">IF(ISBLANK(Q17),NA(),MIN(1,U17+2*SQRT(U17*(1-U17)/R17)))</f>
        <v>#N/A</v>
      </c>
      <c r="T17" s="71" t="e">
        <f t="shared" si="16"/>
        <v>#N/A</v>
      </c>
    </row>
    <row r="18" spans="1:20" ht="24" customHeight="1" thickTop="1" x14ac:dyDescent="0.25">
      <c r="A18" s="75"/>
      <c r="B18" s="76"/>
      <c r="C18" s="115"/>
      <c r="D18" s="116"/>
      <c r="E18" s="100"/>
      <c r="F18" s="80"/>
      <c r="G18" s="82" t="e">
        <f t="shared" ref="G18" si="17">$S18*100</f>
        <v>#N/A</v>
      </c>
      <c r="H18" s="82" t="e">
        <f t="shared" ref="H18" si="18">$T18*100</f>
        <v>#N/A</v>
      </c>
      <c r="I18" s="84" t="e">
        <f>(P18/P19)*100</f>
        <v>#DIV/0!</v>
      </c>
      <c r="J18" s="86" t="e">
        <f>(Q18/Q19)*100</f>
        <v>#DIV/0!</v>
      </c>
      <c r="K18" s="86" t="e">
        <f>(R18/R19)*100</f>
        <v>#DIV/0!</v>
      </c>
      <c r="L18" s="105"/>
      <c r="M18" s="65"/>
      <c r="N18" s="67"/>
      <c r="O18" s="69" t="s">
        <v>7</v>
      </c>
      <c r="P18" s="14"/>
      <c r="Q18" s="14"/>
      <c r="R18" s="14"/>
      <c r="S18" s="71" t="e">
        <f t="shared" ref="S18" si="19">IF(ISBLANK($P18),NA(),MIN(1,($P18/$P19)+1*SQRT(($P18/$P19)*(1-$P18/$P19)/$P19)))</f>
        <v>#N/A</v>
      </c>
      <c r="T18" s="71" t="e">
        <f t="shared" ref="T18" si="20">IF(ISBLANK($P18),NA(),MIN(1,($P18/$P19)+2*SQRT(($P18/$P19)*(1-$P18/$P19)/$P19)))</f>
        <v>#N/A</v>
      </c>
    </row>
    <row r="19" spans="1:20" ht="24" customHeight="1" thickBot="1" x14ac:dyDescent="0.3">
      <c r="A19" s="96"/>
      <c r="B19" s="96"/>
      <c r="C19" s="98"/>
      <c r="D19" s="73"/>
      <c r="E19" s="117"/>
      <c r="F19" s="81"/>
      <c r="G19" s="83"/>
      <c r="H19" s="83"/>
      <c r="I19" s="85"/>
      <c r="J19" s="87"/>
      <c r="K19" s="87"/>
      <c r="L19" s="106"/>
      <c r="M19" s="112"/>
      <c r="N19" s="68"/>
      <c r="O19" s="70"/>
      <c r="P19" s="14"/>
      <c r="Q19" s="14"/>
      <c r="R19" s="14"/>
      <c r="S19" s="71" t="e">
        <f t="shared" ref="S19:T19" si="21">IF(ISBLANK(Q19),NA(),MIN(1,U19+2*SQRT(U19*(1-U19)/R19)))</f>
        <v>#N/A</v>
      </c>
      <c r="T19" s="71" t="e">
        <f t="shared" si="21"/>
        <v>#N/A</v>
      </c>
    </row>
    <row r="20" spans="1:20" ht="24" customHeight="1" thickTop="1" x14ac:dyDescent="0.25">
      <c r="A20" s="76"/>
      <c r="B20" s="76"/>
      <c r="C20" s="119"/>
      <c r="D20" s="79"/>
      <c r="E20" s="100"/>
      <c r="F20" s="80"/>
      <c r="G20" s="82" t="e">
        <f t="shared" ref="G20" si="22">$S20*100</f>
        <v>#N/A</v>
      </c>
      <c r="H20" s="82" t="e">
        <f t="shared" ref="H20" si="23">$T20*100</f>
        <v>#N/A</v>
      </c>
      <c r="I20" s="84" t="e">
        <f>(P20/P21)*100</f>
        <v>#DIV/0!</v>
      </c>
      <c r="J20" s="86" t="e">
        <f>(Q20/Q21)*100</f>
        <v>#DIV/0!</v>
      </c>
      <c r="K20" s="86" t="e">
        <f>(R20/R21)*100</f>
        <v>#DIV/0!</v>
      </c>
      <c r="L20" s="105"/>
      <c r="M20" s="120"/>
      <c r="N20" s="67"/>
      <c r="O20" s="122" t="s">
        <v>7</v>
      </c>
      <c r="P20" s="14"/>
      <c r="Q20" s="14"/>
      <c r="R20" s="14"/>
      <c r="S20" s="71" t="e">
        <f t="shared" ref="S20" si="24">IF(ISBLANK($P20),NA(),MIN(1,($P20/$P21)+1*SQRT(($P20/$P21)*(1-$P20/$P21)/$P21)))</f>
        <v>#N/A</v>
      </c>
      <c r="T20" s="71" t="e">
        <f t="shared" ref="T20" si="25">IF(ISBLANK($P20),NA(),MIN(1,($P20/$P21)+2*SQRT(($P20/$P21)*(1-$P20/$P21)/$P21)))</f>
        <v>#N/A</v>
      </c>
    </row>
    <row r="21" spans="1:20" ht="24" customHeight="1" thickBot="1" x14ac:dyDescent="0.3">
      <c r="A21" s="99"/>
      <c r="B21" s="99"/>
      <c r="C21" s="107"/>
      <c r="D21" s="108"/>
      <c r="E21" s="101"/>
      <c r="F21" s="102"/>
      <c r="G21" s="83"/>
      <c r="H21" s="83"/>
      <c r="I21" s="103"/>
      <c r="J21" s="104"/>
      <c r="K21" s="104"/>
      <c r="L21" s="111"/>
      <c r="M21" s="121"/>
      <c r="N21" s="118"/>
      <c r="O21" s="122"/>
      <c r="P21" s="14"/>
      <c r="Q21" s="14"/>
      <c r="R21" s="14"/>
      <c r="S21" s="71" t="e">
        <f t="shared" ref="S21:T21" si="26">IF(ISBLANK(Q21),NA(),MIN(1,U21+2*SQRT(U21*(1-U21)/R21)))</f>
        <v>#N/A</v>
      </c>
      <c r="T21" s="71" t="e">
        <f t="shared" si="26"/>
        <v>#N/A</v>
      </c>
    </row>
    <row r="22" spans="1:20" ht="24" customHeight="1" thickTop="1" x14ac:dyDescent="0.25">
      <c r="A22" s="75"/>
      <c r="B22" s="76"/>
      <c r="C22" s="78"/>
      <c r="D22" s="79"/>
      <c r="E22" s="100"/>
      <c r="F22" s="80"/>
      <c r="G22" s="82" t="e">
        <f t="shared" ref="G22" si="27">$S22*100</f>
        <v>#N/A</v>
      </c>
      <c r="H22" s="82" t="e">
        <f t="shared" ref="H22" si="28">$T22*100</f>
        <v>#N/A</v>
      </c>
      <c r="I22" s="84" t="e">
        <f>(P22/P23)*100</f>
        <v>#DIV/0!</v>
      </c>
      <c r="J22" s="86" t="e">
        <f>(Q22/Q23)*100</f>
        <v>#DIV/0!</v>
      </c>
      <c r="K22" s="86" t="e">
        <f>(R22/R23)*100</f>
        <v>#DIV/0!</v>
      </c>
      <c r="L22" s="105"/>
      <c r="M22" s="65"/>
      <c r="N22" s="67"/>
      <c r="O22" s="69" t="s">
        <v>7</v>
      </c>
      <c r="P22" s="14"/>
      <c r="Q22" s="14"/>
      <c r="R22" s="14"/>
      <c r="S22" s="71" t="e">
        <f t="shared" ref="S22" si="29">IF(ISBLANK($P22),NA(),MIN(1,($P22/$P23)+1*SQRT(($P22/$P23)*(1-$P22/$P23)/$P23)))</f>
        <v>#N/A</v>
      </c>
      <c r="T22" s="71" t="e">
        <f t="shared" ref="T22" si="30">IF(ISBLANK($P22),NA(),MIN(1,($P22/$P23)+2*SQRT(($P22/$P23)*(1-$P22/$P23)/$P23)))</f>
        <v>#N/A</v>
      </c>
    </row>
    <row r="23" spans="1:20" ht="24" customHeight="1" thickBot="1" x14ac:dyDescent="0.3">
      <c r="A23" s="99"/>
      <c r="B23" s="99"/>
      <c r="C23" s="114"/>
      <c r="D23" s="108"/>
      <c r="E23" s="101"/>
      <c r="F23" s="102"/>
      <c r="G23" s="83"/>
      <c r="H23" s="83"/>
      <c r="I23" s="103"/>
      <c r="J23" s="104"/>
      <c r="K23" s="104"/>
      <c r="L23" s="111"/>
      <c r="M23" s="112"/>
      <c r="N23" s="118"/>
      <c r="O23" s="70"/>
      <c r="P23" s="14"/>
      <c r="Q23" s="14"/>
      <c r="R23" s="14"/>
      <c r="S23" s="71" t="e">
        <f t="shared" ref="S23:T23" si="31">IF(ISBLANK(Q23),NA(),MIN(1,U23+2*SQRT(U23*(1-U23)/R23)))</f>
        <v>#N/A</v>
      </c>
      <c r="T23" s="71" t="e">
        <f t="shared" si="31"/>
        <v>#N/A</v>
      </c>
    </row>
    <row r="24" spans="1:20" ht="24" customHeight="1" thickTop="1" x14ac:dyDescent="0.25">
      <c r="A24" s="123" t="s">
        <v>10</v>
      </c>
      <c r="B24" s="123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3"/>
      <c r="P24" s="13"/>
    </row>
    <row r="25" spans="1:20" ht="24" customHeight="1" x14ac:dyDescent="0.25">
      <c r="A25" s="123" t="s">
        <v>9</v>
      </c>
      <c r="B25" s="123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</row>
    <row r="26" spans="1:20" ht="120" customHeight="1" x14ac:dyDescent="0.25">
      <c r="A26" s="123" t="s">
        <v>11</v>
      </c>
      <c r="B26" s="123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3"/>
    </row>
    <row r="27" spans="1:20" ht="24" customHeight="1" x14ac:dyDescent="0.25">
      <c r="A27" s="123" t="s">
        <v>8</v>
      </c>
      <c r="B27" s="123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3"/>
      <c r="P27" s="13"/>
    </row>
    <row r="29" spans="1:20" x14ac:dyDescent="0.25">
      <c r="F29" s="10"/>
    </row>
  </sheetData>
  <mergeCells count="160">
    <mergeCell ref="N20:N21"/>
    <mergeCell ref="O20:O21"/>
    <mergeCell ref="S20:S21"/>
    <mergeCell ref="T22:T23"/>
    <mergeCell ref="C23:D23"/>
    <mergeCell ref="A24:N24"/>
    <mergeCell ref="A25:N25"/>
    <mergeCell ref="A26:N26"/>
    <mergeCell ref="A27:N27"/>
    <mergeCell ref="K22:K23"/>
    <mergeCell ref="L22:L23"/>
    <mergeCell ref="M22:M23"/>
    <mergeCell ref="N22:N23"/>
    <mergeCell ref="O22:O23"/>
    <mergeCell ref="S22:S23"/>
    <mergeCell ref="A22:B23"/>
    <mergeCell ref="C22:D22"/>
    <mergeCell ref="E22:E23"/>
    <mergeCell ref="F22:F23"/>
    <mergeCell ref="G22:G23"/>
    <mergeCell ref="H22:H23"/>
    <mergeCell ref="I22:I23"/>
    <mergeCell ref="J22:J23"/>
    <mergeCell ref="K20:K21"/>
    <mergeCell ref="M16:M17"/>
    <mergeCell ref="N16:N17"/>
    <mergeCell ref="O16:O17"/>
    <mergeCell ref="S16:S17"/>
    <mergeCell ref="T18:T19"/>
    <mergeCell ref="C19:D19"/>
    <mergeCell ref="A20:B21"/>
    <mergeCell ref="C20:D20"/>
    <mergeCell ref="E20:E21"/>
    <mergeCell ref="F20:F21"/>
    <mergeCell ref="G20:G21"/>
    <mergeCell ref="H20:H21"/>
    <mergeCell ref="I20:I21"/>
    <mergeCell ref="J20:J21"/>
    <mergeCell ref="K18:K19"/>
    <mergeCell ref="L18:L19"/>
    <mergeCell ref="M18:M19"/>
    <mergeCell ref="N18:N19"/>
    <mergeCell ref="O18:O19"/>
    <mergeCell ref="S18:S19"/>
    <mergeCell ref="T20:T21"/>
    <mergeCell ref="C21:D21"/>
    <mergeCell ref="L20:L21"/>
    <mergeCell ref="M20:M21"/>
    <mergeCell ref="A18:B19"/>
    <mergeCell ref="C18:D18"/>
    <mergeCell ref="E18:E19"/>
    <mergeCell ref="F18:F19"/>
    <mergeCell ref="G18:G19"/>
    <mergeCell ref="H18:H19"/>
    <mergeCell ref="I18:I19"/>
    <mergeCell ref="J18:J19"/>
    <mergeCell ref="K16:K17"/>
    <mergeCell ref="L12:L13"/>
    <mergeCell ref="M12:M13"/>
    <mergeCell ref="N12:N13"/>
    <mergeCell ref="O12:O13"/>
    <mergeCell ref="S12:S13"/>
    <mergeCell ref="T14:T15"/>
    <mergeCell ref="C15:D15"/>
    <mergeCell ref="A16:B17"/>
    <mergeCell ref="C16:D16"/>
    <mergeCell ref="E16:E17"/>
    <mergeCell ref="F16:F17"/>
    <mergeCell ref="G16:G17"/>
    <mergeCell ref="H16:H17"/>
    <mergeCell ref="I16:I17"/>
    <mergeCell ref="J16:J17"/>
    <mergeCell ref="K14:K15"/>
    <mergeCell ref="L14:L15"/>
    <mergeCell ref="M14:M15"/>
    <mergeCell ref="N14:N15"/>
    <mergeCell ref="O14:O15"/>
    <mergeCell ref="S14:S15"/>
    <mergeCell ref="T16:T17"/>
    <mergeCell ref="C17:D17"/>
    <mergeCell ref="L16:L17"/>
    <mergeCell ref="A14:B15"/>
    <mergeCell ref="C14:D14"/>
    <mergeCell ref="E14:E15"/>
    <mergeCell ref="F14:F15"/>
    <mergeCell ref="G14:G15"/>
    <mergeCell ref="H14:H15"/>
    <mergeCell ref="I14:I15"/>
    <mergeCell ref="J14:J15"/>
    <mergeCell ref="K12:K13"/>
    <mergeCell ref="S10:S11"/>
    <mergeCell ref="T10:T11"/>
    <mergeCell ref="C11:D11"/>
    <mergeCell ref="A12:B13"/>
    <mergeCell ref="C12:D12"/>
    <mergeCell ref="F12:F13"/>
    <mergeCell ref="G12:G13"/>
    <mergeCell ref="H12:H13"/>
    <mergeCell ref="I12:I13"/>
    <mergeCell ref="J12:J13"/>
    <mergeCell ref="J10:J11"/>
    <mergeCell ref="K10:K11"/>
    <mergeCell ref="L10:L11"/>
    <mergeCell ref="M10:M11"/>
    <mergeCell ref="N10:N11"/>
    <mergeCell ref="O10:O11"/>
    <mergeCell ref="A10:B11"/>
    <mergeCell ref="C10:D10"/>
    <mergeCell ref="F10:F11"/>
    <mergeCell ref="G10:G11"/>
    <mergeCell ref="H10:H11"/>
    <mergeCell ref="I10:I11"/>
    <mergeCell ref="T12:T13"/>
    <mergeCell ref="C13:D13"/>
    <mergeCell ref="M8:M9"/>
    <mergeCell ref="N8:N9"/>
    <mergeCell ref="O8:O9"/>
    <mergeCell ref="S8:S9"/>
    <mergeCell ref="T8:T9"/>
    <mergeCell ref="C9:D9"/>
    <mergeCell ref="T6:T7"/>
    <mergeCell ref="A8:B9"/>
    <mergeCell ref="C8:D8"/>
    <mergeCell ref="F8:F9"/>
    <mergeCell ref="G8:G9"/>
    <mergeCell ref="H8:H9"/>
    <mergeCell ref="I8:I9"/>
    <mergeCell ref="J8:J9"/>
    <mergeCell ref="K8:K9"/>
    <mergeCell ref="L8:L9"/>
    <mergeCell ref="N6:N7"/>
    <mergeCell ref="O6:O7"/>
    <mergeCell ref="P6:P7"/>
    <mergeCell ref="Q6:Q7"/>
    <mergeCell ref="R6:R7"/>
    <mergeCell ref="S6:S7"/>
    <mergeCell ref="A5:N5"/>
    <mergeCell ref="A6:B7"/>
    <mergeCell ref="C6:D7"/>
    <mergeCell ref="E6:E7"/>
    <mergeCell ref="F6:F7"/>
    <mergeCell ref="G6:G7"/>
    <mergeCell ref="H6:H7"/>
    <mergeCell ref="I6:K6"/>
    <mergeCell ref="L6:L7"/>
    <mergeCell ref="M6:M7"/>
    <mergeCell ref="A3:C4"/>
    <mergeCell ref="D3:D4"/>
    <mergeCell ref="E3:J4"/>
    <mergeCell ref="K3:L3"/>
    <mergeCell ref="M3:N3"/>
    <mergeCell ref="K4:L4"/>
    <mergeCell ref="M4:N4"/>
    <mergeCell ref="A1:C2"/>
    <mergeCell ref="D1:D2"/>
    <mergeCell ref="E1:J2"/>
    <mergeCell ref="K1:L1"/>
    <mergeCell ref="M1:N1"/>
    <mergeCell ref="K2:L2"/>
    <mergeCell ref="M2:N2"/>
  </mergeCells>
  <phoneticPr fontId="8" type="noConversion"/>
  <printOptions horizontalCentered="1"/>
  <pageMargins left="0.11811023622047245" right="0.11811023622047245" top="0.15748031496062992" bottom="0.23622047244094491" header="0.11811023622047245" footer="0.11811023622047245"/>
  <pageSetup paperSize="9" scale="75" orientation="landscape" horizontalDpi="4294967294" r:id="rId1"/>
  <colBreaks count="1" manualBreakCount="1">
    <brk id="14" min="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品管指標監測計劃-空白表單</vt:lpstr>
      <vt:lpstr>'品管指標監測計劃-空白表單'!Print_Area</vt:lpstr>
    </vt:vector>
  </TitlesOfParts>
  <Company>csh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2023-11-02T06:56:12Z</cp:lastPrinted>
  <dcterms:created xsi:type="dcterms:W3CDTF">2011-02-15T07:56:33Z</dcterms:created>
  <dcterms:modified xsi:type="dcterms:W3CDTF">2024-11-14T08:41:43Z</dcterms:modified>
</cp:coreProperties>
</file>